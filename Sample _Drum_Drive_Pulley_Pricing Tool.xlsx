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voithprod-my.sharepoint.com/personal/gantla_vidyasagarreddy_voith_com/Documents/Vidya Sagar/25-26/9.Drum Pulley/Request for Cost Calculations/"/>
    </mc:Choice>
  </mc:AlternateContent>
  <xr:revisionPtr revIDLastSave="911" documentId="8_{B4F2CDCF-0B32-4CFA-A784-366151AB814A}" xr6:coauthVersionLast="47" xr6:coauthVersionMax="47" xr10:uidLastSave="{84031E9B-DA2B-41A2-A2E2-DA645EEF5883}"/>
  <bookViews>
    <workbookView xWindow="-110" yWindow="-110" windowWidth="19420" windowHeight="10300" tabRatio="500" xr2:uid="{00000000-000D-0000-FFFF-FFFF00000000}"/>
  </bookViews>
  <sheets>
    <sheet name="Pricing Tool" sheetId="2" r:id="rId1"/>
    <sheet name="Raw Forging Prices" sheetId="15" r:id="rId2"/>
    <sheet name="TECH DATA SHEET" sheetId="14" r:id="rId3"/>
    <sheet name="Cost Rate Tables" sheetId="4" r:id="rId4"/>
    <sheet name="Bearing &amp; Sleeve Data" sheetId="5" state="hidden" r:id="rId5"/>
    <sheet name="In-House Hours" sheetId="6" r:id="rId6"/>
    <sheet name="Delivery Schedule" sheetId="8" r:id="rId7"/>
    <sheet name="MHR &amp; LHR Calculator" sheetId="9" r:id="rId8"/>
    <sheet name="BRG_DATA" sheetId="10" r:id="rId9"/>
    <sheet name="SL_DATA" sheetId="11" r:id="rId10"/>
    <sheet name="HSG_DATA" sheetId="12" r:id="rId11"/>
    <sheet name="LAG_DATA" sheetId="13" r:id="rId12"/>
    <sheet name="LCD_DATA" sheetId="16" r:id="rId13"/>
  </sheets>
  <definedNames>
    <definedName name="_xlnm._FilterDatabase" localSheetId="5" hidden="1">'In-House Hours'!#REF!</definedName>
    <definedName name="ID" localSheetId="4" hidden="1">"fa1be53d-a4bb-4be9-ba5d-91e6a9623c97"</definedName>
    <definedName name="ID" localSheetId="8" hidden="1">"c35b9f15-bcce-4cee-97ea-eede72773f7b"</definedName>
    <definedName name="ID" localSheetId="3" hidden="1">"061d4f68-45e4-4d56-8083-3dfcbb325f5c"</definedName>
    <definedName name="ID" localSheetId="6" hidden="1">"05faeb9a-4551-474f-8679-cc3f2c0c5125"</definedName>
    <definedName name="ID" localSheetId="10" hidden="1">"c6d3f6df-a508-4508-9811-62a2e83ddea8"</definedName>
    <definedName name="ID" localSheetId="11" hidden="1">"1a1ce568-de77-4e72-991e-e8b7718c5132"</definedName>
    <definedName name="ID" localSheetId="7" hidden="1">"eab0d638-fd22-4cdd-93fc-ddf1d2f6114f"</definedName>
    <definedName name="ID" localSheetId="9" hidden="1">"25934f68-85db-4edc-a6fb-e1df7faaadb1"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4" i="2" l="1"/>
  <c r="N25" i="2"/>
  <c r="N26" i="2"/>
  <c r="N27" i="2"/>
  <c r="H81" i="2"/>
  <c r="G56" i="2"/>
  <c r="F56" i="2"/>
  <c r="E56" i="2"/>
  <c r="D56" i="2"/>
  <c r="C56" i="2"/>
  <c r="H55" i="2"/>
  <c r="H56" i="2" s="1"/>
  <c r="O56" i="2"/>
  <c r="Q56" i="2"/>
  <c r="J56" i="2"/>
  <c r="G55" i="2"/>
  <c r="F55" i="2"/>
  <c r="E55" i="2"/>
  <c r="D55" i="2"/>
  <c r="C55" i="2"/>
  <c r="S55" i="2"/>
  <c r="S56" i="2" s="1"/>
  <c r="R55" i="2"/>
  <c r="R56" i="2" s="1"/>
  <c r="Q55" i="2"/>
  <c r="P55" i="2"/>
  <c r="P56" i="2" s="1"/>
  <c r="O55" i="2"/>
  <c r="N55" i="2"/>
  <c r="N56" i="2" s="1"/>
  <c r="M55" i="2"/>
  <c r="M56" i="2" s="1"/>
  <c r="L55" i="2"/>
  <c r="L56" i="2" s="1"/>
  <c r="K55" i="2"/>
  <c r="K56" i="2" s="1"/>
  <c r="J55" i="2"/>
  <c r="I55" i="2"/>
  <c r="I56" i="2" s="1"/>
  <c r="D44" i="2"/>
  <c r="E44" i="2"/>
  <c r="F44" i="2"/>
  <c r="G44" i="2"/>
  <c r="H44" i="2"/>
  <c r="I44" i="2"/>
  <c r="J44" i="2"/>
  <c r="K44" i="2"/>
  <c r="L44" i="2"/>
  <c r="M44" i="2"/>
  <c r="O44" i="2"/>
  <c r="P44" i="2"/>
  <c r="Q44" i="2"/>
  <c r="R44" i="2"/>
  <c r="S44" i="2"/>
  <c r="C44" i="2"/>
  <c r="D97" i="10"/>
  <c r="D96" i="10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S87" i="2"/>
  <c r="R87" i="2"/>
  <c r="Q87" i="2"/>
  <c r="P87" i="2"/>
  <c r="O87" i="2"/>
  <c r="N87" i="2"/>
  <c r="M87" i="2"/>
  <c r="L87" i="2"/>
  <c r="K87" i="2"/>
  <c r="D87" i="2"/>
  <c r="C87" i="2"/>
  <c r="BR3" i="6"/>
  <c r="BN3" i="6"/>
  <c r="BJ3" i="6"/>
  <c r="BF3" i="6"/>
  <c r="BB3" i="6"/>
  <c r="AX3" i="6"/>
  <c r="AT3" i="6"/>
  <c r="AP3" i="6"/>
  <c r="AL3" i="6"/>
  <c r="AH3" i="6"/>
  <c r="AD3" i="6"/>
  <c r="Z3" i="6"/>
  <c r="V3" i="6"/>
  <c r="R3" i="6"/>
  <c r="N3" i="6"/>
  <c r="J3" i="6"/>
  <c r="F3" i="6"/>
  <c r="BS11" i="6"/>
  <c r="BR11" i="6"/>
  <c r="BT10" i="6"/>
  <c r="BU10" i="6" s="1"/>
  <c r="BT9" i="6"/>
  <c r="BU9" i="6" s="1"/>
  <c r="BT8" i="6"/>
  <c r="BU8" i="6" s="1"/>
  <c r="BT7" i="6"/>
  <c r="BU7" i="6" s="1"/>
  <c r="BU6" i="6"/>
  <c r="BT6" i="6"/>
  <c r="BT5" i="6"/>
  <c r="BU5" i="6" s="1"/>
  <c r="BP10" i="6"/>
  <c r="BQ10" i="6" s="1"/>
  <c r="BL10" i="6"/>
  <c r="BM10" i="6" s="1"/>
  <c r="BH10" i="6"/>
  <c r="BI10" i="6" s="1"/>
  <c r="BD10" i="6"/>
  <c r="BE10" i="6" s="1"/>
  <c r="AZ10" i="6"/>
  <c r="BA10" i="6" s="1"/>
  <c r="AV10" i="6"/>
  <c r="AW10" i="6" s="1"/>
  <c r="AR10" i="6"/>
  <c r="AS10" i="6" s="1"/>
  <c r="AN10" i="6"/>
  <c r="AO10" i="6" s="1"/>
  <c r="AJ10" i="6"/>
  <c r="AK10" i="6" s="1"/>
  <c r="AF10" i="6"/>
  <c r="AG10" i="6" s="1"/>
  <c r="AB10" i="6"/>
  <c r="AC10" i="6" s="1"/>
  <c r="X10" i="6"/>
  <c r="Y10" i="6" s="1"/>
  <c r="T10" i="6"/>
  <c r="U10" i="6" s="1"/>
  <c r="P10" i="6"/>
  <c r="Q10" i="6" s="1"/>
  <c r="L10" i="6"/>
  <c r="M10" i="6" s="1"/>
  <c r="BP9" i="6"/>
  <c r="BQ9" i="6" s="1"/>
  <c r="BL9" i="6"/>
  <c r="BM9" i="6" s="1"/>
  <c r="BH9" i="6"/>
  <c r="BI9" i="6" s="1"/>
  <c r="BD9" i="6"/>
  <c r="BE9" i="6" s="1"/>
  <c r="AZ9" i="6"/>
  <c r="BA9" i="6" s="1"/>
  <c r="AV9" i="6"/>
  <c r="AW9" i="6" s="1"/>
  <c r="AR9" i="6"/>
  <c r="AS9" i="6" s="1"/>
  <c r="AN9" i="6"/>
  <c r="AO9" i="6" s="1"/>
  <c r="AJ9" i="6"/>
  <c r="AK9" i="6" s="1"/>
  <c r="AF9" i="6"/>
  <c r="AG9" i="6" s="1"/>
  <c r="AB9" i="6"/>
  <c r="AC9" i="6" s="1"/>
  <c r="X9" i="6"/>
  <c r="Y9" i="6" s="1"/>
  <c r="T9" i="6"/>
  <c r="U9" i="6" s="1"/>
  <c r="P9" i="6"/>
  <c r="Q9" i="6" s="1"/>
  <c r="L9" i="6"/>
  <c r="M9" i="6" s="1"/>
  <c r="BP8" i="6"/>
  <c r="BQ8" i="6" s="1"/>
  <c r="BL8" i="6"/>
  <c r="BM8" i="6" s="1"/>
  <c r="BH8" i="6"/>
  <c r="BI8" i="6" s="1"/>
  <c r="BD8" i="6"/>
  <c r="BE8" i="6" s="1"/>
  <c r="AZ8" i="6"/>
  <c r="BA8" i="6" s="1"/>
  <c r="AV8" i="6"/>
  <c r="AW8" i="6" s="1"/>
  <c r="AR8" i="6"/>
  <c r="AS8" i="6" s="1"/>
  <c r="AN8" i="6"/>
  <c r="AO8" i="6" s="1"/>
  <c r="AJ8" i="6"/>
  <c r="AK8" i="6" s="1"/>
  <c r="AF8" i="6"/>
  <c r="AG8" i="6" s="1"/>
  <c r="AB8" i="6"/>
  <c r="AC8" i="6" s="1"/>
  <c r="X8" i="6"/>
  <c r="Y8" i="6" s="1"/>
  <c r="T8" i="6"/>
  <c r="U8" i="6" s="1"/>
  <c r="P8" i="6"/>
  <c r="Q8" i="6" s="1"/>
  <c r="L8" i="6"/>
  <c r="M8" i="6" s="1"/>
  <c r="BP7" i="6"/>
  <c r="BQ7" i="6" s="1"/>
  <c r="BL7" i="6"/>
  <c r="BM7" i="6" s="1"/>
  <c r="BH7" i="6"/>
  <c r="BI7" i="6" s="1"/>
  <c r="BD7" i="6"/>
  <c r="BE7" i="6" s="1"/>
  <c r="AZ7" i="6"/>
  <c r="BA7" i="6" s="1"/>
  <c r="AV7" i="6"/>
  <c r="AW7" i="6" s="1"/>
  <c r="AR7" i="6"/>
  <c r="AS7" i="6" s="1"/>
  <c r="AN7" i="6"/>
  <c r="AJ7" i="6"/>
  <c r="AK7" i="6" s="1"/>
  <c r="J87" i="2" s="1"/>
  <c r="AF7" i="6"/>
  <c r="AG7" i="6" s="1"/>
  <c r="I87" i="2" s="1"/>
  <c r="AB7" i="6"/>
  <c r="AC7" i="6" s="1"/>
  <c r="H87" i="2" s="1"/>
  <c r="X7" i="6"/>
  <c r="T7" i="6"/>
  <c r="U7" i="6" s="1"/>
  <c r="F87" i="2" s="1"/>
  <c r="P7" i="6"/>
  <c r="Q7" i="6" s="1"/>
  <c r="E87" i="2" s="1"/>
  <c r="L7" i="6"/>
  <c r="M7" i="6" s="1"/>
  <c r="BP6" i="6"/>
  <c r="BL6" i="6"/>
  <c r="BM6" i="6" s="1"/>
  <c r="BH6" i="6"/>
  <c r="BI6" i="6" s="1"/>
  <c r="BD6" i="6"/>
  <c r="BE6" i="6" s="1"/>
  <c r="AZ6" i="6"/>
  <c r="AV6" i="6"/>
  <c r="AW6" i="6" s="1"/>
  <c r="AR6" i="6"/>
  <c r="AS6" i="6" s="1"/>
  <c r="AN6" i="6"/>
  <c r="AO6" i="6" s="1"/>
  <c r="AJ6" i="6"/>
  <c r="AF6" i="6"/>
  <c r="AG6" i="6" s="1"/>
  <c r="AB6" i="6"/>
  <c r="AC6" i="6" s="1"/>
  <c r="X6" i="6"/>
  <c r="Y6" i="6" s="1"/>
  <c r="T6" i="6"/>
  <c r="P6" i="6"/>
  <c r="Q6" i="6" s="1"/>
  <c r="L6" i="6"/>
  <c r="M6" i="6" s="1"/>
  <c r="BP5" i="6"/>
  <c r="BQ5" i="6" s="1"/>
  <c r="BL5" i="6"/>
  <c r="BH5" i="6"/>
  <c r="BI5" i="6" s="1"/>
  <c r="BD5" i="6"/>
  <c r="BE5" i="6" s="1"/>
  <c r="AZ5" i="6"/>
  <c r="BA5" i="6" s="1"/>
  <c r="AV5" i="6"/>
  <c r="AW5" i="6" s="1"/>
  <c r="AR5" i="6"/>
  <c r="AN5" i="6"/>
  <c r="AO5" i="6" s="1"/>
  <c r="AJ5" i="6"/>
  <c r="AK5" i="6" s="1"/>
  <c r="AF5" i="6"/>
  <c r="AB5" i="6"/>
  <c r="AC5" i="6" s="1"/>
  <c r="X5" i="6"/>
  <c r="Y5" i="6" s="1"/>
  <c r="T5" i="6"/>
  <c r="U5" i="6" s="1"/>
  <c r="P5" i="6"/>
  <c r="Q5" i="6" s="1"/>
  <c r="L5" i="6"/>
  <c r="M5" i="6" s="1"/>
  <c r="BO11" i="6"/>
  <c r="BN11" i="6"/>
  <c r="BK11" i="6"/>
  <c r="BJ11" i="6"/>
  <c r="BG11" i="6"/>
  <c r="BF11" i="6"/>
  <c r="BC11" i="6"/>
  <c r="BB11" i="6"/>
  <c r="AY11" i="6"/>
  <c r="AX11" i="6"/>
  <c r="AU11" i="6"/>
  <c r="AT11" i="6"/>
  <c r="AQ11" i="6"/>
  <c r="AP11" i="6"/>
  <c r="AM11" i="6"/>
  <c r="AL11" i="6"/>
  <c r="AI11" i="6"/>
  <c r="AH11" i="6"/>
  <c r="AE11" i="6"/>
  <c r="AD11" i="6"/>
  <c r="AA11" i="6"/>
  <c r="Z11" i="6"/>
  <c r="W11" i="6"/>
  <c r="V11" i="6"/>
  <c r="S11" i="6"/>
  <c r="R11" i="6"/>
  <c r="O11" i="6"/>
  <c r="N11" i="6"/>
  <c r="K11" i="6"/>
  <c r="J11" i="6"/>
  <c r="G11" i="6"/>
  <c r="F11" i="6"/>
  <c r="H5" i="6"/>
  <c r="I5" i="6" s="1"/>
  <c r="H6" i="6"/>
  <c r="I6" i="6" s="1"/>
  <c r="H7" i="6"/>
  <c r="I7" i="6" s="1"/>
  <c r="H8" i="6"/>
  <c r="I8" i="6" s="1"/>
  <c r="H9" i="6"/>
  <c r="I9" i="6" s="1"/>
  <c r="H10" i="6"/>
  <c r="I10" i="6" s="1"/>
  <c r="BU11" i="6" l="1"/>
  <c r="BT11" i="6"/>
  <c r="AR11" i="6"/>
  <c r="AB11" i="6"/>
  <c r="BL11" i="6"/>
  <c r="AJ11" i="6"/>
  <c r="X11" i="6"/>
  <c r="BP11" i="6"/>
  <c r="AS5" i="6"/>
  <c r="AV11" i="6"/>
  <c r="T11" i="6"/>
  <c r="AF11" i="6"/>
  <c r="AN11" i="6"/>
  <c r="AZ11" i="6"/>
  <c r="BD11" i="6"/>
  <c r="BH11" i="6"/>
  <c r="AG5" i="6"/>
  <c r="BM5" i="6"/>
  <c r="U6" i="6"/>
  <c r="AK6" i="6"/>
  <c r="BA6" i="6"/>
  <c r="BQ6" i="6"/>
  <c r="Y7" i="6"/>
  <c r="G87" i="2" s="1"/>
  <c r="AO7" i="6"/>
  <c r="M11" i="6"/>
  <c r="Q11" i="6"/>
  <c r="P11" i="6"/>
  <c r="L11" i="6"/>
  <c r="H11" i="6"/>
  <c r="S103" i="2"/>
  <c r="R103" i="2"/>
  <c r="Q103" i="2"/>
  <c r="P103" i="2"/>
  <c r="O103" i="2"/>
  <c r="N103" i="2"/>
  <c r="M103" i="2"/>
  <c r="I103" i="2"/>
  <c r="H103" i="2"/>
  <c r="G103" i="2"/>
  <c r="F103" i="2"/>
  <c r="E103" i="2"/>
  <c r="D103" i="2"/>
  <c r="C103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C29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C22" i="2"/>
  <c r="U11" i="6" l="1"/>
  <c r="I11" i="6"/>
  <c r="Y11" i="6" l="1"/>
  <c r="S39" i="14"/>
  <c r="R39" i="14"/>
  <c r="Q39" i="14"/>
  <c r="P39" i="14"/>
  <c r="O39" i="14"/>
  <c r="N39" i="14"/>
  <c r="M39" i="14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AC11" i="6" l="1"/>
  <c r="S81" i="2"/>
  <c r="R81" i="2"/>
  <c r="Q81" i="2"/>
  <c r="P81" i="2"/>
  <c r="O81" i="2"/>
  <c r="N81" i="2"/>
  <c r="M81" i="2"/>
  <c r="S49" i="2"/>
  <c r="R49" i="2"/>
  <c r="Q49" i="2"/>
  <c r="P49" i="2"/>
  <c r="O49" i="2"/>
  <c r="N49" i="2"/>
  <c r="M49" i="2"/>
  <c r="S48" i="2"/>
  <c r="S51" i="2" s="1"/>
  <c r="R48" i="2"/>
  <c r="R51" i="2" s="1"/>
  <c r="Q48" i="2"/>
  <c r="Q51" i="2" s="1"/>
  <c r="P48" i="2"/>
  <c r="P51" i="2" s="1"/>
  <c r="O48" i="2"/>
  <c r="O51" i="2" s="1"/>
  <c r="N48" i="2"/>
  <c r="N51" i="2" s="1"/>
  <c r="M48" i="2"/>
  <c r="M51" i="2" s="1"/>
  <c r="S80" i="2"/>
  <c r="R80" i="2"/>
  <c r="Q80" i="2"/>
  <c r="P80" i="2"/>
  <c r="O80" i="2"/>
  <c r="M80" i="2"/>
  <c r="S43" i="2"/>
  <c r="R43" i="2"/>
  <c r="Q43" i="2"/>
  <c r="P43" i="2"/>
  <c r="O43" i="2"/>
  <c r="N43" i="2"/>
  <c r="N44" i="2" s="1"/>
  <c r="N80" i="2" s="1"/>
  <c r="M43" i="2"/>
  <c r="S41" i="2"/>
  <c r="R41" i="2"/>
  <c r="Q41" i="2"/>
  <c r="P41" i="2"/>
  <c r="O41" i="2"/>
  <c r="N41" i="2"/>
  <c r="M41" i="2"/>
  <c r="S39" i="2"/>
  <c r="S40" i="2" s="1"/>
  <c r="R39" i="2"/>
  <c r="R40" i="2" s="1"/>
  <c r="Q39" i="2"/>
  <c r="Q40" i="2" s="1"/>
  <c r="P39" i="2"/>
  <c r="P40" i="2" s="1"/>
  <c r="O39" i="2"/>
  <c r="O40" i="2" s="1"/>
  <c r="N39" i="2"/>
  <c r="N40" i="2" s="1"/>
  <c r="M39" i="2"/>
  <c r="M40" i="2" s="1"/>
  <c r="S37" i="2"/>
  <c r="S42" i="2" s="1"/>
  <c r="S79" i="2" s="1"/>
  <c r="R37" i="2"/>
  <c r="R42" i="2" s="1"/>
  <c r="R79" i="2" s="1"/>
  <c r="Q37" i="2"/>
  <c r="Q42" i="2" s="1"/>
  <c r="Q79" i="2" s="1"/>
  <c r="P37" i="2"/>
  <c r="P38" i="2" s="1"/>
  <c r="O37" i="2"/>
  <c r="O42" i="2" s="1"/>
  <c r="O79" i="2" s="1"/>
  <c r="N37" i="2"/>
  <c r="N38" i="2" s="1"/>
  <c r="M37" i="2"/>
  <c r="M42" i="2" s="1"/>
  <c r="M79" i="2" s="1"/>
  <c r="S33" i="2"/>
  <c r="S35" i="2" s="1"/>
  <c r="R33" i="2"/>
  <c r="R35" i="2" s="1"/>
  <c r="Q33" i="2"/>
  <c r="Q35" i="2" s="1"/>
  <c r="P33" i="2"/>
  <c r="P35" i="2" s="1"/>
  <c r="O33" i="2"/>
  <c r="O35" i="2" s="1"/>
  <c r="N33" i="2"/>
  <c r="N35" i="2" s="1"/>
  <c r="M33" i="2"/>
  <c r="M35" i="2" s="1"/>
  <c r="S32" i="2"/>
  <c r="R32" i="2"/>
  <c r="Q32" i="2"/>
  <c r="P32" i="2"/>
  <c r="O32" i="2"/>
  <c r="N32" i="2"/>
  <c r="M32" i="2"/>
  <c r="S31" i="2"/>
  <c r="R31" i="2"/>
  <c r="Q31" i="2"/>
  <c r="P31" i="2"/>
  <c r="O31" i="2"/>
  <c r="N31" i="2"/>
  <c r="M31" i="2"/>
  <c r="S27" i="2"/>
  <c r="R27" i="2"/>
  <c r="Q27" i="2"/>
  <c r="P27" i="2"/>
  <c r="O27" i="2"/>
  <c r="M27" i="2"/>
  <c r="S26" i="2"/>
  <c r="R26" i="2"/>
  <c r="Q26" i="2"/>
  <c r="P26" i="2"/>
  <c r="O26" i="2"/>
  <c r="M26" i="2"/>
  <c r="S25" i="2"/>
  <c r="R25" i="2"/>
  <c r="Q25" i="2"/>
  <c r="P25" i="2"/>
  <c r="O25" i="2"/>
  <c r="M25" i="2"/>
  <c r="S24" i="2"/>
  <c r="R24" i="2"/>
  <c r="Q24" i="2"/>
  <c r="P24" i="2"/>
  <c r="O24" i="2"/>
  <c r="M24" i="2"/>
  <c r="S20" i="2"/>
  <c r="R20" i="2"/>
  <c r="Q20" i="2"/>
  <c r="P20" i="2"/>
  <c r="O20" i="2"/>
  <c r="N20" i="2"/>
  <c r="M20" i="2"/>
  <c r="S19" i="2"/>
  <c r="R19" i="2"/>
  <c r="Q19" i="2"/>
  <c r="P19" i="2"/>
  <c r="O19" i="2"/>
  <c r="N19" i="2"/>
  <c r="M19" i="2"/>
  <c r="S18" i="2"/>
  <c r="R18" i="2"/>
  <c r="Q18" i="2"/>
  <c r="P18" i="2"/>
  <c r="O18" i="2"/>
  <c r="N18" i="2"/>
  <c r="M18" i="2"/>
  <c r="S16" i="2"/>
  <c r="R16" i="2"/>
  <c r="Q16" i="2"/>
  <c r="P16" i="2"/>
  <c r="O16" i="2"/>
  <c r="N16" i="2"/>
  <c r="M16" i="2"/>
  <c r="S14" i="2"/>
  <c r="R14" i="2"/>
  <c r="Q14" i="2"/>
  <c r="P14" i="2"/>
  <c r="O14" i="2"/>
  <c r="N14" i="2"/>
  <c r="M14" i="2"/>
  <c r="S13" i="2"/>
  <c r="R13" i="2"/>
  <c r="R50" i="2" s="1"/>
  <c r="Q13" i="2"/>
  <c r="Q50" i="2" s="1"/>
  <c r="P13" i="2"/>
  <c r="O13" i="2"/>
  <c r="N13" i="2"/>
  <c r="M13" i="2"/>
  <c r="S10" i="2"/>
  <c r="R10" i="2"/>
  <c r="Q10" i="2"/>
  <c r="P10" i="2"/>
  <c r="O10" i="2"/>
  <c r="N10" i="2"/>
  <c r="M10" i="2"/>
  <c r="S9" i="2"/>
  <c r="R9" i="2"/>
  <c r="Q9" i="2"/>
  <c r="P9" i="2"/>
  <c r="O9" i="2"/>
  <c r="N9" i="2"/>
  <c r="M9" i="2"/>
  <c r="S8" i="2"/>
  <c r="R8" i="2"/>
  <c r="Q8" i="2"/>
  <c r="P8" i="2"/>
  <c r="O8" i="2"/>
  <c r="N8" i="2"/>
  <c r="M8" i="2"/>
  <c r="S7" i="2"/>
  <c r="R7" i="2"/>
  <c r="Q7" i="2"/>
  <c r="P7" i="2"/>
  <c r="O7" i="2"/>
  <c r="N7" i="2"/>
  <c r="M7" i="2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S50" i="2" l="1"/>
  <c r="S52" i="2" s="1"/>
  <c r="S101" i="2" s="1"/>
  <c r="S105" i="2" s="1"/>
  <c r="S120" i="2" s="1"/>
  <c r="O50" i="2"/>
  <c r="O28" i="2"/>
  <c r="O74" i="2" s="1"/>
  <c r="Q34" i="2"/>
  <c r="M108" i="2"/>
  <c r="M112" i="2"/>
  <c r="S34" i="2"/>
  <c r="N112" i="2"/>
  <c r="N108" i="2"/>
  <c r="O108" i="2"/>
  <c r="O112" i="2"/>
  <c r="P112" i="2"/>
  <c r="P108" i="2"/>
  <c r="Q112" i="2"/>
  <c r="Q108" i="2"/>
  <c r="R112" i="2"/>
  <c r="R108" i="2"/>
  <c r="N50" i="2"/>
  <c r="S112" i="2"/>
  <c r="S108" i="2"/>
  <c r="AG11" i="6"/>
  <c r="Q17" i="2"/>
  <c r="Q21" i="2" s="1"/>
  <c r="Q110" i="2" s="1"/>
  <c r="R52" i="2"/>
  <c r="R101" i="2" s="1"/>
  <c r="R105" i="2" s="1"/>
  <c r="R120" i="2" s="1"/>
  <c r="M50" i="2"/>
  <c r="M52" i="2" s="1"/>
  <c r="M101" i="2" s="1"/>
  <c r="M105" i="2" s="1"/>
  <c r="M120" i="2" s="1"/>
  <c r="O34" i="2"/>
  <c r="M28" i="2"/>
  <c r="M74" i="2" s="1"/>
  <c r="N42" i="2"/>
  <c r="N79" i="2" s="1"/>
  <c r="P17" i="2"/>
  <c r="P21" i="2" s="1"/>
  <c r="P110" i="2" s="1"/>
  <c r="P28" i="2"/>
  <c r="P94" i="2" s="1"/>
  <c r="P119" i="2" s="1"/>
  <c r="O38" i="2"/>
  <c r="O45" i="2" s="1"/>
  <c r="Q28" i="2"/>
  <c r="Q94" i="2" s="1"/>
  <c r="Q119" i="2" s="1"/>
  <c r="Q38" i="2"/>
  <c r="Q45" i="2" s="1"/>
  <c r="P50" i="2"/>
  <c r="P52" i="2" s="1"/>
  <c r="P101" i="2" s="1"/>
  <c r="P105" i="2" s="1"/>
  <c r="P120" i="2" s="1"/>
  <c r="N17" i="2"/>
  <c r="N21" i="2" s="1"/>
  <c r="R28" i="2"/>
  <c r="R74" i="2" s="1"/>
  <c r="P34" i="2"/>
  <c r="R38" i="2"/>
  <c r="R45" i="2" s="1"/>
  <c r="S28" i="2"/>
  <c r="S74" i="2" s="1"/>
  <c r="N34" i="2"/>
  <c r="O52" i="2"/>
  <c r="O101" i="2" s="1"/>
  <c r="O105" i="2" s="1"/>
  <c r="O120" i="2" s="1"/>
  <c r="R34" i="2"/>
  <c r="N28" i="2"/>
  <c r="N74" i="2" s="1"/>
  <c r="M34" i="2"/>
  <c r="Q74" i="2"/>
  <c r="Q70" i="2"/>
  <c r="P78" i="2"/>
  <c r="N52" i="2"/>
  <c r="N101" i="2" s="1"/>
  <c r="N105" i="2" s="1"/>
  <c r="N120" i="2" s="1"/>
  <c r="N78" i="2"/>
  <c r="M94" i="2"/>
  <c r="M119" i="2" s="1"/>
  <c r="M70" i="2"/>
  <c r="Q52" i="2"/>
  <c r="Q101" i="2" s="1"/>
  <c r="Q105" i="2" s="1"/>
  <c r="Q120" i="2" s="1"/>
  <c r="R17" i="2"/>
  <c r="R21" i="2" s="1"/>
  <c r="S38" i="2"/>
  <c r="P42" i="2"/>
  <c r="P79" i="2" s="1"/>
  <c r="S17" i="2"/>
  <c r="S21" i="2" s="1"/>
  <c r="M38" i="2"/>
  <c r="M17" i="2"/>
  <c r="M21" i="2" s="1"/>
  <c r="O17" i="2"/>
  <c r="O21" i="2" s="1"/>
  <c r="P70" i="2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M28" i="14"/>
  <c r="N28" i="14"/>
  <c r="O28" i="14"/>
  <c r="P28" i="14"/>
  <c r="Q28" i="14"/>
  <c r="R28" i="14"/>
  <c r="S28" i="14"/>
  <c r="O21" i="14"/>
  <c r="P21" i="14"/>
  <c r="Q21" i="14"/>
  <c r="M16" i="14"/>
  <c r="N16" i="14"/>
  <c r="O16" i="14"/>
  <c r="P16" i="14"/>
  <c r="Q16" i="14"/>
  <c r="R16" i="14"/>
  <c r="R21" i="14" s="1"/>
  <c r="S16" i="14"/>
  <c r="M17" i="14"/>
  <c r="N17" i="14"/>
  <c r="N21" i="14" s="1"/>
  <c r="O17" i="14"/>
  <c r="P17" i="14"/>
  <c r="Q17" i="14"/>
  <c r="R17" i="14"/>
  <c r="S17" i="14"/>
  <c r="S21" i="14" s="1"/>
  <c r="C28" i="14"/>
  <c r="Q78" i="2" l="1"/>
  <c r="Q84" i="2" s="1"/>
  <c r="Q118" i="2" s="1"/>
  <c r="Q122" i="2" s="1"/>
  <c r="S70" i="2"/>
  <c r="O78" i="2"/>
  <c r="O84" i="2" s="1"/>
  <c r="O118" i="2" s="1"/>
  <c r="O122" i="2" s="1"/>
  <c r="P74" i="2"/>
  <c r="M110" i="2"/>
  <c r="M114" i="2" s="1"/>
  <c r="M121" i="2" s="1"/>
  <c r="R110" i="2"/>
  <c r="N110" i="2"/>
  <c r="N114" i="2" s="1"/>
  <c r="N121" i="2" s="1"/>
  <c r="S110" i="2"/>
  <c r="S114" i="2" s="1"/>
  <c r="S121" i="2" s="1"/>
  <c r="N72" i="2"/>
  <c r="N109" i="2"/>
  <c r="S72" i="2"/>
  <c r="S109" i="2"/>
  <c r="R72" i="2"/>
  <c r="R109" i="2"/>
  <c r="O72" i="2"/>
  <c r="O109" i="2"/>
  <c r="O114" i="2" s="1"/>
  <c r="O121" i="2" s="1"/>
  <c r="M72" i="2"/>
  <c r="M109" i="2"/>
  <c r="O70" i="2"/>
  <c r="O110" i="2"/>
  <c r="P72" i="2"/>
  <c r="P109" i="2"/>
  <c r="P114" i="2" s="1"/>
  <c r="P121" i="2" s="1"/>
  <c r="Q72" i="2"/>
  <c r="Q109" i="2"/>
  <c r="Q114" i="2" s="1"/>
  <c r="Q121" i="2" s="1"/>
  <c r="AK11" i="6"/>
  <c r="P69" i="2"/>
  <c r="Q69" i="2"/>
  <c r="N70" i="2"/>
  <c r="N84" i="2"/>
  <c r="N118" i="2" s="1"/>
  <c r="N45" i="2"/>
  <c r="N73" i="2"/>
  <c r="N69" i="2"/>
  <c r="R70" i="2"/>
  <c r="R78" i="2"/>
  <c r="R84" i="2" s="1"/>
  <c r="R118" i="2" s="1"/>
  <c r="R122" i="2" s="1"/>
  <c r="P73" i="2"/>
  <c r="Q73" i="2"/>
  <c r="P84" i="2"/>
  <c r="P118" i="2" s="1"/>
  <c r="P122" i="2" s="1"/>
  <c r="O69" i="2"/>
  <c r="O73" i="2"/>
  <c r="P45" i="2"/>
  <c r="S73" i="2"/>
  <c r="S69" i="2"/>
  <c r="R73" i="2"/>
  <c r="R69" i="2"/>
  <c r="M73" i="2"/>
  <c r="M69" i="2"/>
  <c r="S78" i="2"/>
  <c r="S84" i="2" s="1"/>
  <c r="S118" i="2" s="1"/>
  <c r="S122" i="2" s="1"/>
  <c r="S127" i="2" s="1"/>
  <c r="S45" i="2"/>
  <c r="M45" i="2"/>
  <c r="M78" i="2"/>
  <c r="M84" i="2" s="1"/>
  <c r="M118" i="2" s="1"/>
  <c r="M122" i="2" s="1"/>
  <c r="M21" i="14"/>
  <c r="C15" i="2"/>
  <c r="O123" i="2" l="1"/>
  <c r="O127" i="2"/>
  <c r="O126" i="2"/>
  <c r="O124" i="2"/>
  <c r="O125" i="2"/>
  <c r="R123" i="2"/>
  <c r="R127" i="2"/>
  <c r="R124" i="2"/>
  <c r="R126" i="2"/>
  <c r="R125" i="2"/>
  <c r="Q126" i="2"/>
  <c r="Q125" i="2"/>
  <c r="Q124" i="2"/>
  <c r="Q127" i="2"/>
  <c r="Q123" i="2"/>
  <c r="M127" i="2"/>
  <c r="M124" i="2"/>
  <c r="M123" i="2"/>
  <c r="M125" i="2"/>
  <c r="M126" i="2"/>
  <c r="P124" i="2"/>
  <c r="P127" i="2"/>
  <c r="P126" i="2"/>
  <c r="P125" i="2"/>
  <c r="P123" i="2"/>
  <c r="S123" i="2"/>
  <c r="S124" i="2"/>
  <c r="S125" i="2"/>
  <c r="S126" i="2"/>
  <c r="P75" i="2"/>
  <c r="P117" i="2" s="1"/>
  <c r="R114" i="2"/>
  <c r="R121" i="2" s="1"/>
  <c r="Q75" i="2"/>
  <c r="Q117" i="2" s="1"/>
  <c r="Q129" i="2" s="1"/>
  <c r="Q130" i="2" s="1"/>
  <c r="Q131" i="2" s="1"/>
  <c r="AO11" i="6"/>
  <c r="N75" i="2"/>
  <c r="N117" i="2" s="1"/>
  <c r="N122" i="2" s="1"/>
  <c r="O75" i="2"/>
  <c r="O117" i="2" s="1"/>
  <c r="R75" i="2"/>
  <c r="R117" i="2" s="1"/>
  <c r="M75" i="2"/>
  <c r="M117" i="2" s="1"/>
  <c r="M129" i="2" s="1"/>
  <c r="M130" i="2" s="1"/>
  <c r="S75" i="2"/>
  <c r="S117" i="2" s="1"/>
  <c r="C50" i="14"/>
  <c r="N125" i="2" l="1"/>
  <c r="N123" i="2"/>
  <c r="N127" i="2"/>
  <c r="N124" i="2"/>
  <c r="N126" i="2"/>
  <c r="Q132" i="2"/>
  <c r="AS11" i="6"/>
  <c r="M131" i="2"/>
  <c r="M132" i="2"/>
  <c r="P129" i="2"/>
  <c r="P130" i="2" s="1"/>
  <c r="Q133" i="2"/>
  <c r="C27" i="2"/>
  <c r="C26" i="2"/>
  <c r="C25" i="2"/>
  <c r="V18" i="2"/>
  <c r="V13" i="2"/>
  <c r="V14" i="2" s="1"/>
  <c r="V15" i="2" s="1"/>
  <c r="D16" i="14"/>
  <c r="E16" i="14"/>
  <c r="F16" i="14"/>
  <c r="G16" i="14"/>
  <c r="H16" i="14"/>
  <c r="I16" i="14"/>
  <c r="J16" i="14"/>
  <c r="K16" i="14"/>
  <c r="L16" i="14"/>
  <c r="C17" i="14"/>
  <c r="E17" i="14"/>
  <c r="F17" i="14"/>
  <c r="G17" i="14"/>
  <c r="H17" i="14"/>
  <c r="I17" i="14"/>
  <c r="J17" i="14"/>
  <c r="K17" i="14"/>
  <c r="L17" i="14"/>
  <c r="C16" i="14"/>
  <c r="AW11" i="6" l="1"/>
  <c r="P131" i="2"/>
  <c r="P132" i="2"/>
  <c r="P133" i="2"/>
  <c r="Q134" i="2"/>
  <c r="P134" i="2"/>
  <c r="M133" i="2"/>
  <c r="C28" i="2"/>
  <c r="C21" i="14"/>
  <c r="D7" i="2"/>
  <c r="E7" i="2"/>
  <c r="F7" i="2"/>
  <c r="G7" i="2"/>
  <c r="H7" i="2"/>
  <c r="I7" i="2"/>
  <c r="J7" i="2"/>
  <c r="K7" i="2"/>
  <c r="L7" i="2"/>
  <c r="D8" i="2"/>
  <c r="E8" i="2"/>
  <c r="F8" i="2"/>
  <c r="G8" i="2"/>
  <c r="H8" i="2"/>
  <c r="I8" i="2"/>
  <c r="J8" i="2"/>
  <c r="K8" i="2"/>
  <c r="L8" i="2"/>
  <c r="D9" i="2"/>
  <c r="E9" i="2"/>
  <c r="F9" i="2"/>
  <c r="G9" i="2"/>
  <c r="H9" i="2"/>
  <c r="I9" i="2"/>
  <c r="J9" i="2"/>
  <c r="K9" i="2"/>
  <c r="L9" i="2"/>
  <c r="D10" i="2"/>
  <c r="E10" i="2"/>
  <c r="F10" i="2"/>
  <c r="G10" i="2"/>
  <c r="H10" i="2"/>
  <c r="I10" i="2"/>
  <c r="J10" i="2"/>
  <c r="K10" i="2"/>
  <c r="L10" i="2"/>
  <c r="D13" i="2"/>
  <c r="D17" i="2" s="1"/>
  <c r="E13" i="2"/>
  <c r="E17" i="2" s="1"/>
  <c r="F13" i="2"/>
  <c r="F17" i="2" s="1"/>
  <c r="G13" i="2"/>
  <c r="G17" i="2" s="1"/>
  <c r="H13" i="2"/>
  <c r="H17" i="2" s="1"/>
  <c r="I13" i="2"/>
  <c r="I17" i="2" s="1"/>
  <c r="J13" i="2"/>
  <c r="J17" i="2" s="1"/>
  <c r="K13" i="2"/>
  <c r="L13" i="2"/>
  <c r="L17" i="2" s="1"/>
  <c r="D14" i="2"/>
  <c r="E14" i="2"/>
  <c r="F14" i="2"/>
  <c r="G14" i="2"/>
  <c r="H14" i="2"/>
  <c r="I14" i="2"/>
  <c r="J14" i="2"/>
  <c r="K14" i="2"/>
  <c r="L14" i="2"/>
  <c r="D16" i="2"/>
  <c r="E16" i="2"/>
  <c r="F16" i="2"/>
  <c r="G16" i="2"/>
  <c r="H16" i="2"/>
  <c r="I16" i="2"/>
  <c r="J16" i="2"/>
  <c r="K16" i="2"/>
  <c r="L16" i="2"/>
  <c r="E18" i="2"/>
  <c r="F18" i="2"/>
  <c r="G18" i="2"/>
  <c r="D19" i="2"/>
  <c r="E19" i="2"/>
  <c r="F19" i="2"/>
  <c r="G19" i="2"/>
  <c r="H19" i="2"/>
  <c r="I19" i="2"/>
  <c r="J19" i="2"/>
  <c r="K19" i="2"/>
  <c r="L19" i="2"/>
  <c r="D20" i="2"/>
  <c r="E20" i="2"/>
  <c r="F20" i="2"/>
  <c r="G20" i="2"/>
  <c r="H20" i="2"/>
  <c r="I20" i="2"/>
  <c r="J20" i="2"/>
  <c r="K20" i="2"/>
  <c r="L20" i="2"/>
  <c r="D24" i="2"/>
  <c r="E24" i="2"/>
  <c r="F24" i="2"/>
  <c r="G24" i="2"/>
  <c r="H24" i="2"/>
  <c r="I24" i="2"/>
  <c r="J24" i="2"/>
  <c r="K24" i="2"/>
  <c r="L24" i="2"/>
  <c r="D25" i="2"/>
  <c r="E25" i="2"/>
  <c r="F25" i="2"/>
  <c r="G25" i="2"/>
  <c r="H25" i="2"/>
  <c r="I25" i="2"/>
  <c r="J25" i="2"/>
  <c r="K25" i="2"/>
  <c r="L25" i="2"/>
  <c r="D26" i="2"/>
  <c r="E26" i="2"/>
  <c r="F26" i="2"/>
  <c r="G26" i="2"/>
  <c r="H26" i="2"/>
  <c r="I26" i="2"/>
  <c r="J26" i="2"/>
  <c r="K26" i="2"/>
  <c r="L26" i="2"/>
  <c r="D27" i="2"/>
  <c r="E27" i="2"/>
  <c r="F27" i="2"/>
  <c r="G27" i="2"/>
  <c r="H27" i="2"/>
  <c r="I27" i="2"/>
  <c r="J27" i="2"/>
  <c r="K27" i="2"/>
  <c r="L27" i="2"/>
  <c r="H31" i="2"/>
  <c r="I31" i="2"/>
  <c r="J31" i="2"/>
  <c r="K31" i="2"/>
  <c r="L31" i="2"/>
  <c r="H32" i="2"/>
  <c r="I32" i="2"/>
  <c r="J32" i="2"/>
  <c r="K32" i="2"/>
  <c r="L32" i="2"/>
  <c r="H33" i="2"/>
  <c r="H35" i="2" s="1"/>
  <c r="I33" i="2"/>
  <c r="I35" i="2" s="1"/>
  <c r="J33" i="2"/>
  <c r="J35" i="2" s="1"/>
  <c r="K33" i="2"/>
  <c r="K35" i="2" s="1"/>
  <c r="L33" i="2"/>
  <c r="L35" i="2" s="1"/>
  <c r="L37" i="2"/>
  <c r="K37" i="2"/>
  <c r="J37" i="2"/>
  <c r="J38" i="2" s="1"/>
  <c r="I37" i="2"/>
  <c r="I38" i="2" s="1"/>
  <c r="H37" i="2"/>
  <c r="H38" i="2" s="1"/>
  <c r="G37" i="2"/>
  <c r="F37" i="2"/>
  <c r="F42" i="2" s="1"/>
  <c r="E37" i="2"/>
  <c r="E42" i="2" s="1"/>
  <c r="D37" i="2"/>
  <c r="D42" i="2" s="1"/>
  <c r="L49" i="2"/>
  <c r="K49" i="2"/>
  <c r="J49" i="2"/>
  <c r="I49" i="2"/>
  <c r="H49" i="2"/>
  <c r="G49" i="2"/>
  <c r="F49" i="2"/>
  <c r="E49" i="2"/>
  <c r="D49" i="2"/>
  <c r="L48" i="2"/>
  <c r="L51" i="2" s="1"/>
  <c r="K48" i="2"/>
  <c r="K51" i="2" s="1"/>
  <c r="J48" i="2"/>
  <c r="J51" i="2" s="1"/>
  <c r="I48" i="2"/>
  <c r="I51" i="2" s="1"/>
  <c r="H48" i="2"/>
  <c r="H51" i="2" s="1"/>
  <c r="G48" i="2"/>
  <c r="G51" i="2" s="1"/>
  <c r="F48" i="2"/>
  <c r="F51" i="2" s="1"/>
  <c r="E48" i="2"/>
  <c r="E51" i="2" s="1"/>
  <c r="D48" i="2"/>
  <c r="D51" i="2" s="1"/>
  <c r="C49" i="2"/>
  <c r="C48" i="2"/>
  <c r="G112" i="2" l="1"/>
  <c r="G108" i="2"/>
  <c r="F112" i="2"/>
  <c r="F108" i="2"/>
  <c r="E112" i="2"/>
  <c r="E108" i="2"/>
  <c r="L108" i="2"/>
  <c r="L112" i="2"/>
  <c r="D112" i="2"/>
  <c r="D108" i="2"/>
  <c r="K112" i="2"/>
  <c r="K108" i="2"/>
  <c r="J112" i="2"/>
  <c r="J108" i="2"/>
  <c r="I112" i="2"/>
  <c r="I108" i="2"/>
  <c r="H112" i="2"/>
  <c r="H108" i="2"/>
  <c r="BA11" i="6"/>
  <c r="L34" i="2"/>
  <c r="L109" i="2" s="1"/>
  <c r="J50" i="2"/>
  <c r="M134" i="2"/>
  <c r="J34" i="2"/>
  <c r="J109" i="2" s="1"/>
  <c r="F50" i="2"/>
  <c r="F52" i="2" s="1"/>
  <c r="G42" i="2"/>
  <c r="G38" i="2"/>
  <c r="E50" i="2"/>
  <c r="E52" i="2" s="1"/>
  <c r="I34" i="2"/>
  <c r="I109" i="2" s="1"/>
  <c r="H34" i="2"/>
  <c r="H109" i="2" s="1"/>
  <c r="K38" i="2"/>
  <c r="L50" i="2"/>
  <c r="L52" i="2" s="1"/>
  <c r="L101" i="2" s="1"/>
  <c r="E28" i="2"/>
  <c r="K34" i="2"/>
  <c r="K109" i="2" s="1"/>
  <c r="K50" i="2"/>
  <c r="K52" i="2" s="1"/>
  <c r="K101" i="2" s="1"/>
  <c r="K17" i="2"/>
  <c r="H28" i="2"/>
  <c r="I28" i="2"/>
  <c r="F28" i="2"/>
  <c r="H50" i="2"/>
  <c r="H52" i="2" s="1"/>
  <c r="E21" i="2"/>
  <c r="E110" i="2" s="1"/>
  <c r="I50" i="2"/>
  <c r="I52" i="2" s="1"/>
  <c r="D50" i="2"/>
  <c r="D52" i="2" s="1"/>
  <c r="F21" i="2"/>
  <c r="F110" i="2" s="1"/>
  <c r="G21" i="2"/>
  <c r="G110" i="2" s="1"/>
  <c r="I42" i="2"/>
  <c r="G28" i="2"/>
  <c r="L28" i="2"/>
  <c r="K28" i="2"/>
  <c r="J28" i="2"/>
  <c r="H42" i="2"/>
  <c r="D28" i="2"/>
  <c r="G50" i="2"/>
  <c r="G52" i="2" s="1"/>
  <c r="J52" i="2"/>
  <c r="D38" i="2"/>
  <c r="F38" i="2"/>
  <c r="J42" i="2"/>
  <c r="L38" i="2"/>
  <c r="K42" i="2"/>
  <c r="L42" i="2"/>
  <c r="E38" i="2"/>
  <c r="C37" i="2"/>
  <c r="G33" i="2"/>
  <c r="G35" i="2" s="1"/>
  <c r="F33" i="2"/>
  <c r="F35" i="2" s="1"/>
  <c r="E33" i="2"/>
  <c r="E35" i="2" s="1"/>
  <c r="D33" i="2"/>
  <c r="D35" i="2" s="1"/>
  <c r="C33" i="2"/>
  <c r="C35" i="2" s="1"/>
  <c r="G32" i="2"/>
  <c r="F32" i="2"/>
  <c r="E32" i="2"/>
  <c r="D32" i="2"/>
  <c r="C32" i="2"/>
  <c r="G31" i="2"/>
  <c r="F31" i="2"/>
  <c r="E31" i="2"/>
  <c r="D31" i="2"/>
  <c r="C31" i="2"/>
  <c r="C24" i="2"/>
  <c r="C20" i="2"/>
  <c r="C19" i="2"/>
  <c r="C16" i="2"/>
  <c r="C14" i="2"/>
  <c r="C13" i="2"/>
  <c r="C17" i="2" s="1"/>
  <c r="C9" i="2"/>
  <c r="C8" i="2"/>
  <c r="C7" i="2"/>
  <c r="L43" i="2"/>
  <c r="K43" i="2"/>
  <c r="J43" i="2"/>
  <c r="I43" i="2"/>
  <c r="H43" i="2"/>
  <c r="G43" i="2"/>
  <c r="F43" i="2"/>
  <c r="E43" i="2"/>
  <c r="D43" i="2"/>
  <c r="C43" i="2"/>
  <c r="L41" i="2"/>
  <c r="K41" i="2"/>
  <c r="J41" i="2"/>
  <c r="I41" i="2"/>
  <c r="H41" i="2"/>
  <c r="G41" i="2"/>
  <c r="F41" i="2"/>
  <c r="E41" i="2"/>
  <c r="D41" i="2"/>
  <c r="C41" i="2"/>
  <c r="L39" i="14"/>
  <c r="K39" i="14"/>
  <c r="J39" i="14"/>
  <c r="I39" i="14"/>
  <c r="H39" i="14"/>
  <c r="G39" i="14"/>
  <c r="F39" i="14"/>
  <c r="F39" i="2" s="1"/>
  <c r="F40" i="2" s="1"/>
  <c r="E39" i="14"/>
  <c r="E39" i="2" s="1"/>
  <c r="E40" i="2" s="1"/>
  <c r="D39" i="14"/>
  <c r="C39" i="14"/>
  <c r="L28" i="14"/>
  <c r="K28" i="14"/>
  <c r="J28" i="14"/>
  <c r="I28" i="14"/>
  <c r="H28" i="14"/>
  <c r="G28" i="14"/>
  <c r="F28" i="14"/>
  <c r="E28" i="14"/>
  <c r="D28" i="14"/>
  <c r="G21" i="14"/>
  <c r="F21" i="14"/>
  <c r="E21" i="14"/>
  <c r="L18" i="2"/>
  <c r="K18" i="2"/>
  <c r="J18" i="2"/>
  <c r="I18" i="2"/>
  <c r="H18" i="2"/>
  <c r="D18" i="2"/>
  <c r="C18" i="2"/>
  <c r="L21" i="2"/>
  <c r="D17" i="14"/>
  <c r="D21" i="2" s="1"/>
  <c r="D110" i="2" s="1"/>
  <c r="L110" i="2" l="1"/>
  <c r="L114" i="2" s="1"/>
  <c r="L103" i="2"/>
  <c r="C108" i="2"/>
  <c r="C112" i="2"/>
  <c r="BE11" i="6"/>
  <c r="C21" i="2"/>
  <c r="C110" i="2" s="1"/>
  <c r="D21" i="14"/>
  <c r="C45" i="14"/>
  <c r="H45" i="14"/>
  <c r="H39" i="2"/>
  <c r="C39" i="2"/>
  <c r="I45" i="14"/>
  <c r="I39" i="2"/>
  <c r="J45" i="14"/>
  <c r="J39" i="2"/>
  <c r="J40" i="2" s="1"/>
  <c r="J45" i="2" s="1"/>
  <c r="K45" i="14"/>
  <c r="K39" i="2"/>
  <c r="K40" i="2" s="1"/>
  <c r="K45" i="2" s="1"/>
  <c r="D45" i="14"/>
  <c r="D39" i="2"/>
  <c r="D40" i="2" s="1"/>
  <c r="D45" i="2" s="1"/>
  <c r="L45" i="14"/>
  <c r="L39" i="2"/>
  <c r="L40" i="2" s="1"/>
  <c r="L45" i="2" s="1"/>
  <c r="E45" i="14"/>
  <c r="F45" i="14"/>
  <c r="E45" i="2"/>
  <c r="G45" i="14"/>
  <c r="G39" i="2"/>
  <c r="F45" i="2"/>
  <c r="K21" i="14"/>
  <c r="K21" i="2"/>
  <c r="H21" i="14"/>
  <c r="H21" i="2"/>
  <c r="H110" i="2" s="1"/>
  <c r="L21" i="14"/>
  <c r="I21" i="14"/>
  <c r="I21" i="2"/>
  <c r="I110" i="2" s="1"/>
  <c r="J21" i="14"/>
  <c r="J21" i="2"/>
  <c r="C52" i="14"/>
  <c r="J103" i="2" l="1"/>
  <c r="J110" i="2"/>
  <c r="K103" i="2"/>
  <c r="K110" i="2"/>
  <c r="K114" i="2" s="1"/>
  <c r="BI11" i="6"/>
  <c r="G40" i="2"/>
  <c r="G45" i="2" s="1"/>
  <c r="H40" i="2"/>
  <c r="H45" i="2" s="1"/>
  <c r="I40" i="2"/>
  <c r="I45" i="2" s="1"/>
  <c r="L70" i="2"/>
  <c r="K70" i="2"/>
  <c r="J70" i="2"/>
  <c r="I70" i="2"/>
  <c r="H70" i="2"/>
  <c r="G70" i="2"/>
  <c r="F70" i="2"/>
  <c r="E70" i="2"/>
  <c r="E69" i="2"/>
  <c r="L69" i="2"/>
  <c r="K69" i="2"/>
  <c r="J69" i="2"/>
  <c r="I69" i="2"/>
  <c r="H69" i="2"/>
  <c r="G69" i="2"/>
  <c r="F69" i="2"/>
  <c r="D81" i="2"/>
  <c r="C69" i="2"/>
  <c r="D69" i="2"/>
  <c r="BM11" i="6" l="1"/>
  <c r="BQ11" i="6"/>
  <c r="C51" i="2" l="1"/>
  <c r="C102" i="2"/>
  <c r="L81" i="2"/>
  <c r="K81" i="2"/>
  <c r="J81" i="2"/>
  <c r="I81" i="2"/>
  <c r="G81" i="2"/>
  <c r="F81" i="2"/>
  <c r="E81" i="2"/>
  <c r="C81" i="2"/>
  <c r="J73" i="2" l="1"/>
  <c r="G73" i="2"/>
  <c r="F73" i="2"/>
  <c r="E73" i="2"/>
  <c r="C73" i="2"/>
  <c r="C16" i="4"/>
  <c r="C14" i="4"/>
  <c r="C13" i="4"/>
  <c r="B120" i="2"/>
  <c r="B119" i="2"/>
  <c r="B118" i="2"/>
  <c r="G79" i="2"/>
  <c r="C42" i="2"/>
  <c r="C40" i="2"/>
  <c r="C38" i="2"/>
  <c r="C78" i="2" l="1"/>
  <c r="G78" i="2"/>
  <c r="I78" i="2"/>
  <c r="L78" i="2"/>
  <c r="J78" i="2"/>
  <c r="K78" i="2"/>
  <c r="F78" i="2"/>
  <c r="H78" i="2"/>
  <c r="D78" i="2"/>
  <c r="E78" i="2"/>
  <c r="L73" i="2"/>
  <c r="K73" i="2"/>
  <c r="I73" i="2"/>
  <c r="H73" i="2"/>
  <c r="D73" i="2"/>
  <c r="J49" i="9"/>
  <c r="J54" i="9" s="1"/>
  <c r="J57" i="9" s="1"/>
  <c r="J45" i="9"/>
  <c r="I45" i="9"/>
  <c r="J43" i="9"/>
  <c r="I43" i="9"/>
  <c r="H43" i="9"/>
  <c r="G43" i="9"/>
  <c r="F43" i="9"/>
  <c r="E43" i="9"/>
  <c r="D43" i="9"/>
  <c r="J40" i="9"/>
  <c r="I40" i="9"/>
  <c r="H40" i="9"/>
  <c r="H45" i="9" s="1"/>
  <c r="G40" i="9"/>
  <c r="F40" i="9"/>
  <c r="E40" i="9"/>
  <c r="E49" i="9" s="1"/>
  <c r="E54" i="9" s="1"/>
  <c r="E57" i="9" s="1"/>
  <c r="D40" i="9"/>
  <c r="J37" i="9"/>
  <c r="I37" i="9"/>
  <c r="I49" i="9" s="1"/>
  <c r="I54" i="9" s="1"/>
  <c r="I57" i="9" s="1"/>
  <c r="H37" i="9"/>
  <c r="G37" i="9"/>
  <c r="G45" i="9" s="1"/>
  <c r="F37" i="9"/>
  <c r="F45" i="9" s="1"/>
  <c r="E37" i="9"/>
  <c r="E45" i="9" s="1"/>
  <c r="D37" i="9"/>
  <c r="D45" i="9" s="1"/>
  <c r="J27" i="9"/>
  <c r="I27" i="9"/>
  <c r="H27" i="9"/>
  <c r="G27" i="9"/>
  <c r="F27" i="9"/>
  <c r="E27" i="9"/>
  <c r="D27" i="9"/>
  <c r="J23" i="9"/>
  <c r="I23" i="9"/>
  <c r="H23" i="9"/>
  <c r="G23" i="9"/>
  <c r="F23" i="9"/>
  <c r="E23" i="9"/>
  <c r="D23" i="9"/>
  <c r="J21" i="9"/>
  <c r="J17" i="9"/>
  <c r="J32" i="9" s="1"/>
  <c r="I17" i="9"/>
  <c r="I32" i="9" s="1"/>
  <c r="H17" i="9"/>
  <c r="G17" i="9"/>
  <c r="F17" i="9"/>
  <c r="E17" i="9"/>
  <c r="D17" i="9"/>
  <c r="I11" i="9"/>
  <c r="H11" i="9"/>
  <c r="F11" i="9"/>
  <c r="J9" i="9"/>
  <c r="J11" i="9" s="1"/>
  <c r="I9" i="9"/>
  <c r="I21" i="9" s="1"/>
  <c r="H9" i="9"/>
  <c r="H21" i="9" s="1"/>
  <c r="H32" i="9" s="1"/>
  <c r="G9" i="9"/>
  <c r="G11" i="9" s="1"/>
  <c r="F9" i="9"/>
  <c r="F21" i="9" s="1"/>
  <c r="F32" i="9" s="1"/>
  <c r="E9" i="9"/>
  <c r="E11" i="9" s="1"/>
  <c r="D9" i="9"/>
  <c r="D11" i="9" s="1"/>
  <c r="F39" i="8"/>
  <c r="F38" i="8"/>
  <c r="F37" i="8"/>
  <c r="F35" i="8"/>
  <c r="F34" i="8"/>
  <c r="F32" i="8"/>
  <c r="F31" i="8"/>
  <c r="F30" i="8"/>
  <c r="F29" i="8"/>
  <c r="F28" i="8"/>
  <c r="F26" i="8"/>
  <c r="F25" i="8"/>
  <c r="F24" i="8"/>
  <c r="F23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7" i="8"/>
  <c r="F6" i="8"/>
  <c r="F41" i="8" s="1"/>
  <c r="F42" i="8" s="1"/>
  <c r="C33" i="4"/>
  <c r="D33" i="4" s="1"/>
  <c r="D31" i="4"/>
  <c r="D30" i="4"/>
  <c r="D29" i="4"/>
  <c r="D18" i="4"/>
  <c r="D17" i="4"/>
  <c r="D16" i="4"/>
  <c r="D15" i="4"/>
  <c r="D14" i="4"/>
  <c r="D13" i="4"/>
  <c r="L80" i="2"/>
  <c r="K80" i="2"/>
  <c r="J80" i="2"/>
  <c r="I80" i="2"/>
  <c r="H80" i="2"/>
  <c r="G80" i="2"/>
  <c r="F80" i="2"/>
  <c r="E80" i="2"/>
  <c r="D80" i="2"/>
  <c r="C80" i="2"/>
  <c r="L79" i="2"/>
  <c r="K79" i="2"/>
  <c r="J79" i="2"/>
  <c r="I79" i="2"/>
  <c r="H79" i="2"/>
  <c r="F79" i="2"/>
  <c r="E79" i="2"/>
  <c r="D79" i="2"/>
  <c r="C79" i="2"/>
  <c r="J101" i="2"/>
  <c r="I101" i="2"/>
  <c r="H101" i="2"/>
  <c r="G101" i="2"/>
  <c r="F101" i="2"/>
  <c r="E101" i="2"/>
  <c r="D101" i="2"/>
  <c r="C50" i="2"/>
  <c r="C52" i="2" s="1"/>
  <c r="C101" i="2" s="1"/>
  <c r="C45" i="2"/>
  <c r="J72" i="2"/>
  <c r="I72" i="2"/>
  <c r="G34" i="2"/>
  <c r="G109" i="2" s="1"/>
  <c r="F34" i="2"/>
  <c r="F109" i="2" s="1"/>
  <c r="E34" i="2"/>
  <c r="D34" i="2"/>
  <c r="D109" i="2" s="1"/>
  <c r="C34" i="2"/>
  <c r="C109" i="2" s="1"/>
  <c r="L74" i="2"/>
  <c r="K74" i="2"/>
  <c r="J74" i="2"/>
  <c r="I74" i="2"/>
  <c r="H74" i="2"/>
  <c r="E74" i="2"/>
  <c r="D74" i="2"/>
  <c r="C74" i="2"/>
  <c r="E72" i="2" l="1"/>
  <c r="E109" i="2"/>
  <c r="R94" i="2"/>
  <c r="R119" i="2" s="1"/>
  <c r="R129" i="2" s="1"/>
  <c r="R130" i="2" s="1"/>
  <c r="N94" i="2"/>
  <c r="N119" i="2" s="1"/>
  <c r="N129" i="2" s="1"/>
  <c r="N130" i="2" s="1"/>
  <c r="F114" i="2"/>
  <c r="F121" i="2" s="1"/>
  <c r="F72" i="2"/>
  <c r="H72" i="2"/>
  <c r="K72" i="2"/>
  <c r="L72" i="2"/>
  <c r="G72" i="2"/>
  <c r="F74" i="2"/>
  <c r="G74" i="2"/>
  <c r="C84" i="2"/>
  <c r="C118" i="2" s="1"/>
  <c r="E75" i="2"/>
  <c r="I75" i="2"/>
  <c r="I117" i="2" s="1"/>
  <c r="C70" i="2"/>
  <c r="D70" i="2"/>
  <c r="G84" i="2"/>
  <c r="G118" i="2" s="1"/>
  <c r="C72" i="2"/>
  <c r="L84" i="2"/>
  <c r="L118" i="2" s="1"/>
  <c r="K121" i="2"/>
  <c r="D84" i="2"/>
  <c r="D118" i="2" s="1"/>
  <c r="H84" i="2"/>
  <c r="H118" i="2" s="1"/>
  <c r="I84" i="2"/>
  <c r="I118" i="2" s="1"/>
  <c r="J84" i="2"/>
  <c r="J118" i="2" s="1"/>
  <c r="K84" i="2"/>
  <c r="K118" i="2" s="1"/>
  <c r="E84" i="2"/>
  <c r="E118" i="2" s="1"/>
  <c r="D72" i="2"/>
  <c r="F84" i="2"/>
  <c r="F118" i="2" s="1"/>
  <c r="J52" i="9"/>
  <c r="J53" i="9"/>
  <c r="F52" i="9"/>
  <c r="F53" i="9"/>
  <c r="H52" i="9"/>
  <c r="H53" i="9"/>
  <c r="G32" i="9"/>
  <c r="I52" i="9"/>
  <c r="I53" i="9"/>
  <c r="D21" i="9"/>
  <c r="D32" i="9" s="1"/>
  <c r="D49" i="9"/>
  <c r="D54" i="9" s="1"/>
  <c r="D57" i="9" s="1"/>
  <c r="E21" i="9"/>
  <c r="E32" i="9" s="1"/>
  <c r="F49" i="9"/>
  <c r="F54" i="9" s="1"/>
  <c r="F57" i="9" s="1"/>
  <c r="G21" i="9"/>
  <c r="G49" i="9"/>
  <c r="G54" i="9" s="1"/>
  <c r="G57" i="9" s="1"/>
  <c r="H49" i="9"/>
  <c r="H54" i="9" s="1"/>
  <c r="H57" i="9" s="1"/>
  <c r="N131" i="2" l="1"/>
  <c r="N132" i="2"/>
  <c r="R131" i="2"/>
  <c r="R132" i="2"/>
  <c r="C75" i="2"/>
  <c r="C117" i="2" s="1"/>
  <c r="G75" i="2"/>
  <c r="G117" i="2" s="1"/>
  <c r="D75" i="2"/>
  <c r="D117" i="2" s="1"/>
  <c r="F75" i="2"/>
  <c r="F117" i="2" s="1"/>
  <c r="H75" i="2"/>
  <c r="H117" i="2" s="1"/>
  <c r="L75" i="2"/>
  <c r="L117" i="2" s="1"/>
  <c r="J75" i="2"/>
  <c r="J117" i="2" s="1"/>
  <c r="E117" i="2"/>
  <c r="K75" i="2"/>
  <c r="K117" i="2" s="1"/>
  <c r="C114" i="2"/>
  <c r="C121" i="2" s="1"/>
  <c r="G114" i="2"/>
  <c r="G121" i="2" s="1"/>
  <c r="L121" i="2"/>
  <c r="H114" i="2"/>
  <c r="H121" i="2" s="1"/>
  <c r="D114" i="2"/>
  <c r="D121" i="2" s="1"/>
  <c r="I114" i="2"/>
  <c r="I121" i="2" s="1"/>
  <c r="J114" i="2"/>
  <c r="J121" i="2" s="1"/>
  <c r="E114" i="2"/>
  <c r="E121" i="2" s="1"/>
  <c r="D52" i="9"/>
  <c r="D53" i="9"/>
  <c r="G52" i="9"/>
  <c r="G53" i="9"/>
  <c r="I55" i="9"/>
  <c r="I56" i="9"/>
  <c r="F56" i="9"/>
  <c r="F55" i="9"/>
  <c r="E52" i="9"/>
  <c r="E53" i="9"/>
  <c r="H55" i="9"/>
  <c r="H56" i="9"/>
  <c r="J55" i="9"/>
  <c r="J56" i="9"/>
  <c r="R133" i="2" l="1"/>
  <c r="N133" i="2"/>
  <c r="E55" i="9"/>
  <c r="E56" i="9"/>
  <c r="G55" i="9"/>
  <c r="G56" i="9"/>
  <c r="D83" i="9"/>
  <c r="I73" i="9"/>
  <c r="I74" i="9" s="1"/>
  <c r="C32" i="4"/>
  <c r="F73" i="9"/>
  <c r="F74" i="9" s="1"/>
  <c r="D80" i="9"/>
  <c r="C25" i="4"/>
  <c r="H73" i="9"/>
  <c r="H74" i="9" s="1"/>
  <c r="D82" i="9"/>
  <c r="C27" i="4"/>
  <c r="D84" i="9"/>
  <c r="J73" i="9"/>
  <c r="J74" i="9" s="1"/>
  <c r="C28" i="4"/>
  <c r="D28" i="4" s="1"/>
  <c r="D55" i="9"/>
  <c r="D56" i="9"/>
  <c r="R134" i="2" l="1"/>
  <c r="N134" i="2"/>
  <c r="D73" i="9"/>
  <c r="D74" i="9" s="1"/>
  <c r="D78" i="9"/>
  <c r="C23" i="4"/>
  <c r="D32" i="4"/>
  <c r="D25" i="4"/>
  <c r="E73" i="9"/>
  <c r="E74" i="9" s="1"/>
  <c r="D79" i="9"/>
  <c r="C24" i="4"/>
  <c r="D27" i="4"/>
  <c r="G73" i="9"/>
  <c r="G74" i="9" s="1"/>
  <c r="D81" i="9"/>
  <c r="C26" i="4"/>
  <c r="D26" i="4" s="1"/>
  <c r="D24" i="4" l="1"/>
  <c r="D23" i="4"/>
  <c r="H105" i="2"/>
  <c r="H120" i="2" s="1"/>
  <c r="H122" i="2" s="1"/>
  <c r="E105" i="2"/>
  <c r="E120" i="2" s="1"/>
  <c r="E122" i="2" s="1"/>
  <c r="G105" i="2"/>
  <c r="G120" i="2" s="1"/>
  <c r="G122" i="2" s="1"/>
  <c r="D105" i="2"/>
  <c r="D120" i="2" s="1"/>
  <c r="D122" i="2" s="1"/>
  <c r="F105" i="2"/>
  <c r="F120" i="2" s="1"/>
  <c r="F122" i="2" s="1"/>
  <c r="L105" i="2"/>
  <c r="L120" i="2" s="1"/>
  <c r="L122" i="2" s="1"/>
  <c r="K105" i="2"/>
  <c r="K120" i="2" s="1"/>
  <c r="K122" i="2" s="1"/>
  <c r="C105" i="2"/>
  <c r="C120" i="2" s="1"/>
  <c r="C122" i="2" s="1"/>
  <c r="J105" i="2"/>
  <c r="J120" i="2" s="1"/>
  <c r="J122" i="2" s="1"/>
  <c r="I105" i="2"/>
  <c r="I120" i="2" s="1"/>
  <c r="I122" i="2" s="1"/>
  <c r="D126" i="2" l="1"/>
  <c r="D125" i="2"/>
  <c r="D124" i="2"/>
  <c r="D123" i="2"/>
  <c r="D127" i="2"/>
  <c r="G125" i="2"/>
  <c r="G123" i="2"/>
  <c r="G124" i="2"/>
  <c r="G127" i="2"/>
  <c r="G126" i="2"/>
  <c r="I123" i="2"/>
  <c r="I127" i="2"/>
  <c r="I126" i="2"/>
  <c r="I125" i="2"/>
  <c r="I124" i="2"/>
  <c r="E127" i="2"/>
  <c r="E125" i="2"/>
  <c r="E124" i="2"/>
  <c r="E123" i="2"/>
  <c r="E126" i="2"/>
  <c r="J127" i="2"/>
  <c r="J126" i="2"/>
  <c r="J125" i="2"/>
  <c r="J124" i="2"/>
  <c r="J123" i="2"/>
  <c r="H124" i="2"/>
  <c r="H127" i="2"/>
  <c r="H126" i="2"/>
  <c r="H125" i="2"/>
  <c r="H123" i="2"/>
  <c r="F126" i="2"/>
  <c r="F125" i="2"/>
  <c r="F124" i="2"/>
  <c r="F123" i="2"/>
  <c r="F127" i="2"/>
  <c r="C139" i="2"/>
  <c r="C127" i="2"/>
  <c r="C126" i="2"/>
  <c r="C125" i="2"/>
  <c r="C124" i="2"/>
  <c r="C123" i="2"/>
  <c r="L126" i="2"/>
  <c r="L127" i="2"/>
  <c r="L125" i="2"/>
  <c r="L124" i="2"/>
  <c r="L123" i="2"/>
  <c r="K127" i="2"/>
  <c r="K126" i="2"/>
  <c r="K125" i="2"/>
  <c r="K124" i="2"/>
  <c r="K123" i="2"/>
  <c r="S94" i="2"/>
  <c r="S119" i="2" s="1"/>
  <c r="S129" i="2" s="1"/>
  <c r="S130" i="2" s="1"/>
  <c r="O94" i="2"/>
  <c r="O119" i="2" s="1"/>
  <c r="O129" i="2" s="1"/>
  <c r="O130" i="2" s="1"/>
  <c r="F94" i="2"/>
  <c r="F119" i="2" s="1"/>
  <c r="D94" i="2"/>
  <c r="J94" i="2"/>
  <c r="J119" i="2" s="1"/>
  <c r="H94" i="2"/>
  <c r="H119" i="2" s="1"/>
  <c r="G94" i="2"/>
  <c r="K94" i="2"/>
  <c r="K119" i="2" s="1"/>
  <c r="L94" i="2"/>
  <c r="L119" i="2" s="1"/>
  <c r="L129" i="2" s="1"/>
  <c r="L130" i="2" s="1"/>
  <c r="C94" i="2"/>
  <c r="C119" i="2" s="1"/>
  <c r="I94" i="2"/>
  <c r="I119" i="2" s="1"/>
  <c r="E94" i="2"/>
  <c r="E119" i="2" s="1"/>
  <c r="O131" i="2" l="1"/>
  <c r="O132" i="2"/>
  <c r="S132" i="2"/>
  <c r="S131" i="2"/>
  <c r="L132" i="2"/>
  <c r="L131" i="2"/>
  <c r="G119" i="2"/>
  <c r="D119" i="2"/>
  <c r="J129" i="2"/>
  <c r="J133" i="2" s="1"/>
  <c r="H129" i="2"/>
  <c r="H130" i="2" s="1"/>
  <c r="F129" i="2"/>
  <c r="F133" i="2" s="1"/>
  <c r="E129" i="2"/>
  <c r="K129" i="2"/>
  <c r="I129" i="2"/>
  <c r="C129" i="2"/>
  <c r="S133" i="2" l="1"/>
  <c r="O133" i="2"/>
  <c r="D129" i="2"/>
  <c r="D130" i="2" s="1"/>
  <c r="D134" i="2" s="1"/>
  <c r="G129" i="2"/>
  <c r="G133" i="2" s="1"/>
  <c r="H133" i="2"/>
  <c r="J130" i="2"/>
  <c r="J131" i="2" s="1"/>
  <c r="F130" i="2"/>
  <c r="F132" i="2" s="1"/>
  <c r="E130" i="2"/>
  <c r="E133" i="2"/>
  <c r="I130" i="2"/>
  <c r="I133" i="2"/>
  <c r="H134" i="2"/>
  <c r="H132" i="2"/>
  <c r="H131" i="2"/>
  <c r="K133" i="2"/>
  <c r="K130" i="2"/>
  <c r="C130" i="2"/>
  <c r="C133" i="2"/>
  <c r="L133" i="2"/>
  <c r="C134" i="2" l="1"/>
  <c r="S134" i="2"/>
  <c r="O134" i="2"/>
  <c r="D131" i="2"/>
  <c r="D132" i="2"/>
  <c r="D133" i="2"/>
  <c r="G130" i="2"/>
  <c r="G134" i="2" s="1"/>
  <c r="J134" i="2"/>
  <c r="F131" i="2"/>
  <c r="J132" i="2"/>
  <c r="F134" i="2"/>
  <c r="L134" i="2"/>
  <c r="K131" i="2"/>
  <c r="K132" i="2"/>
  <c r="K134" i="2"/>
  <c r="E134" i="2"/>
  <c r="E131" i="2"/>
  <c r="E132" i="2"/>
  <c r="C131" i="2"/>
  <c r="C132" i="2"/>
  <c r="I132" i="2"/>
  <c r="I131" i="2"/>
  <c r="I134" i="2"/>
  <c r="C141" i="2" l="1"/>
  <c r="G132" i="2"/>
  <c r="G1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tc={B201046B-964F-4F74-AC6F-F4CAC74E437E}</author>
  </authors>
  <commentList>
    <comment ref="D17" authorId="0" shapeId="0" xr:uid="{B201046B-964F-4F74-AC6F-F4CAC74E437E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thickness &gt;45 mm rolling to be outsourced up to thickness 60 mm</t>
      </text>
    </comment>
  </commentList>
</comments>
</file>

<file path=xl/sharedStrings.xml><?xml version="1.0" encoding="utf-8"?>
<sst xmlns="http://schemas.openxmlformats.org/spreadsheetml/2006/main" count="1864" uniqueCount="804">
  <si>
    <t>PARAMETER</t>
  </si>
  <si>
    <t>Unit</t>
  </si>
  <si>
    <t>1.  PROJECT INFORMATION</t>
  </si>
  <si>
    <t>Project / Quote Reference</t>
  </si>
  <si>
    <t>—</t>
  </si>
  <si>
    <t>Pulley Tag / Name</t>
  </si>
  <si>
    <t>Pulley Structure</t>
  </si>
  <si>
    <t>Number of Pulleys (qty)</t>
  </si>
  <si>
    <t>nos</t>
  </si>
  <si>
    <t>2.  PULLEY BODY DIMENSIONS</t>
  </si>
  <si>
    <t>Shell Outer Diameter  Dshell</t>
  </si>
  <si>
    <t>mm</t>
  </si>
  <si>
    <t>Shell Face Width  Lface</t>
  </si>
  <si>
    <t>Bearing Housing Distance  L1</t>
  </si>
  <si>
    <t>Total Pulley Mass  mtotal</t>
  </si>
  <si>
    <t>kg</t>
  </si>
  <si>
    <t>3.  HUB SPECIFICATIONS</t>
  </si>
  <si>
    <t>Hub Type</t>
  </si>
  <si>
    <t>Hub Width  Whub</t>
  </si>
  <si>
    <t>Min. Outer Diameter of Hub  DN</t>
  </si>
  <si>
    <t>Hub Inner Diameter  d_LD (= LD bore)</t>
  </si>
  <si>
    <t xml:space="preserve">  Hub Mass (est., 2 hubs) [auto]</t>
  </si>
  <si>
    <t>4.  SHAFT SPECIFICATIONS</t>
  </si>
  <si>
    <t>Shaft Total Length  Lshaft</t>
  </si>
  <si>
    <t>Shaft Centre Diameter  d4</t>
  </si>
  <si>
    <t>Shaft Material</t>
  </si>
  <si>
    <t xml:space="preserve">  Shaft Mass [auto-calculated]</t>
  </si>
  <si>
    <t>5.  BEARINGS, HOUSINGS &amp; SLEEVES</t>
  </si>
  <si>
    <t>Bearing 1 Designation</t>
  </si>
  <si>
    <t>23148 CCK/W33</t>
  </si>
  <si>
    <t>23180 CAK/W33</t>
  </si>
  <si>
    <t>22228 CCK/W33</t>
  </si>
  <si>
    <t>23144 CCK/W33</t>
  </si>
  <si>
    <t>22232 KEM</t>
  </si>
  <si>
    <t>23136 CCK/W33</t>
  </si>
  <si>
    <t>23176 CAK/W33</t>
  </si>
  <si>
    <t>Bearing 1 Price (INR/ea)</t>
  </si>
  <si>
    <t>INR</t>
  </si>
  <si>
    <t>Bearing 2 Designation</t>
  </si>
  <si>
    <t>Bearing 2 Price (INR/ea)</t>
  </si>
  <si>
    <t>Adapter Sleeve Code</t>
  </si>
  <si>
    <t>OH 3148 H</t>
  </si>
  <si>
    <t>OH 3180 H</t>
  </si>
  <si>
    <t>H 3128</t>
  </si>
  <si>
    <t>H 3144</t>
  </si>
  <si>
    <t>H 3132</t>
  </si>
  <si>
    <t>H 3136</t>
  </si>
  <si>
    <t>OH 3176 H</t>
  </si>
  <si>
    <t>Sleeve Price (INR/ea)</t>
  </si>
  <si>
    <t>Housing Designation</t>
  </si>
  <si>
    <t>SNL 3148</t>
  </si>
  <si>
    <t>SNL 3180</t>
  </si>
  <si>
    <t>SNL 528</t>
  </si>
  <si>
    <t>SNL 3144</t>
  </si>
  <si>
    <t>SNL 532</t>
  </si>
  <si>
    <t>SNL 3136</t>
  </si>
  <si>
    <t>SNL 3176</t>
  </si>
  <si>
    <t>Housing Price (INR/ea)</t>
  </si>
  <si>
    <t>6.  LAGGING</t>
  </si>
  <si>
    <t>Lagging Type</t>
  </si>
  <si>
    <t>Rubber ceramic 15mm</t>
  </si>
  <si>
    <t>Rubber hot vulcanized</t>
  </si>
  <si>
    <t>Rubber ceramic</t>
  </si>
  <si>
    <t>No lagging</t>
  </si>
  <si>
    <t>Rubber ceramic 20mm</t>
  </si>
  <si>
    <t>Rubber ceramic 25mm</t>
  </si>
  <si>
    <t>Lagging Thickness</t>
  </si>
  <si>
    <t xml:space="preserve">  Lagging Area [auto: π × Dshell × Lface]</t>
  </si>
  <si>
    <t>m²</t>
  </si>
  <si>
    <t>Lagging Rate</t>
  </si>
  <si>
    <t>INR/m²</t>
  </si>
  <si>
    <t xml:space="preserve">  Lagging Cost [auto]</t>
  </si>
  <si>
    <t>7.  LOCKING DEVICE &amp; DEAD SHAFT PARTS</t>
  </si>
  <si>
    <t>Locking Device Type</t>
  </si>
  <si>
    <t>Locking Device INR Price</t>
  </si>
  <si>
    <t>Dead Shaft Parts (inner tube, supports, seals)</t>
  </si>
  <si>
    <t>8.  SOURCING SELECTION — In-house or Outsource per Process</t>
  </si>
  <si>
    <t>Rolling / Bending Shell</t>
  </si>
  <si>
    <t>In-house</t>
  </si>
  <si>
    <t>Welding (Shell + Hub)</t>
  </si>
  <si>
    <t>Stress Relief Annealing</t>
  </si>
  <si>
    <t>Outsource</t>
  </si>
  <si>
    <t>Turning / Machining (Body)</t>
  </si>
  <si>
    <t>Lagging Application</t>
  </si>
  <si>
    <t>Static Balancing</t>
  </si>
  <si>
    <t>Painting / Blasting</t>
  </si>
  <si>
    <t>SECTION A — RAW MATERIALS COST</t>
  </si>
  <si>
    <t>A1. Shell / Body Material (IS 2062 E350)</t>
  </si>
  <si>
    <t>A2. End Disc / End Plate Material (IS 2062)</t>
  </si>
  <si>
    <t>A3. Hub Material (Cast Steel GS-52)</t>
  </si>
  <si>
    <t>A4. Shaft Material (C45 / 42CrMo4+QT)</t>
  </si>
  <si>
    <t>A5. Weld Consumables (per kg pulley)</t>
  </si>
  <si>
    <t xml:space="preserve">  TOTAL RAW MATERIALS COST (A)</t>
  </si>
  <si>
    <t>SECTION B — ANCILLARY PARTS (Bearings, Sleeves, Housings, Locking Device, Lagging)</t>
  </si>
  <si>
    <t>B1. Bearings (2× Drive + 2× Non-Drive)</t>
  </si>
  <si>
    <t>B2. Adapter Sleeves (2×)</t>
  </si>
  <si>
    <t>B3. Bearing Housings (2×)</t>
  </si>
  <si>
    <t>B4. Locking Device</t>
  </si>
  <si>
    <t>B5. Lagging (supply &amp; material only)</t>
  </si>
  <si>
    <t>B6. Dead Shaft Parts (inner tube, supports, seals)</t>
  </si>
  <si>
    <t xml:space="preserve">  TOTAL ANCILLARY PARTS COST (B)</t>
  </si>
  <si>
    <t>SECTION C — IN-HOUSE PROCESSING COST  (linked to 'In-House Hours' sheet totals)</t>
  </si>
  <si>
    <t xml:space="preserve">  TOTAL IN-HOUSE PROCESSING COST (C)</t>
  </si>
  <si>
    <t>SECTION D — OUTSOURCED PROCESSING COST</t>
  </si>
  <si>
    <t>D1. Machining / Turning Body (Outsourced)</t>
  </si>
  <si>
    <t>D2. Stress Relief Annealing (Outsourced)</t>
  </si>
  <si>
    <t>D3. Heat Treatment – Normalising (Outsourced)</t>
  </si>
  <si>
    <t>D4. Painting / Blasting (Outsourced)</t>
  </si>
  <si>
    <t>D5. Lagging Application Labour (Outsourced)</t>
  </si>
  <si>
    <t>D6. Dynamic Balancing (Outsourced per set)</t>
  </si>
  <si>
    <t>D7. Rolling / Bending Shell (Outsourced)</t>
  </si>
  <si>
    <t>D8. Shaft Machining (always at specialty vendor)</t>
  </si>
  <si>
    <t xml:space="preserve">  TOTAL OUTSOURCED PROCESSING COST (D)</t>
  </si>
  <si>
    <t>SECTION E — PACKING &amp; SHIPMENT COST</t>
  </si>
  <si>
    <t>E1. Packing – Wood Crate (per 100 kg)</t>
  </si>
  <si>
    <t>E2. Inbound Freight – Shaft (per kg)</t>
  </si>
  <si>
    <t>E3. Inbound Freight – Plates (per kg)</t>
  </si>
  <si>
    <t>E4. Inbound Freight – Purchased Parts (per order)</t>
  </si>
  <si>
    <t>E5. Outbound Shipping FOB (per kg)</t>
  </si>
  <si>
    <t>E6. Other Miscellaneous Logistics / Inspection</t>
  </si>
  <si>
    <t xml:space="preserve">  TOTAL PACKING &amp; SHIPMENT COST (E)</t>
  </si>
  <si>
    <t>SECTION F — COST SUMMARY &amp; PRICING</t>
  </si>
  <si>
    <t xml:space="preserve">  TOTAL DIRECT COST (A+B+C+D+E) — INR</t>
  </si>
  <si>
    <t xml:space="preserve">  → Raw Materials %</t>
  </si>
  <si>
    <t>%</t>
  </si>
  <si>
    <t xml:space="preserve">  → Ancillary Parts %</t>
  </si>
  <si>
    <t xml:space="preserve">  → In-House Processing %</t>
  </si>
  <si>
    <t xml:space="preserve">  → Outsourced Processing %</t>
  </si>
  <si>
    <t xml:space="preserve">  → Packing &amp; Shipment %</t>
  </si>
  <si>
    <t>Gross List Price / Pulley (HK0 × markup) INR</t>
  </si>
  <si>
    <t>Net OEM Price / Pulley (−10% OEM discount) INR</t>
  </si>
  <si>
    <t>Price incl. GST @ 18% INR</t>
  </si>
  <si>
    <t>Net Price EUR equivalent</t>
  </si>
  <si>
    <t>EUR</t>
  </si>
  <si>
    <t>Gross Margin %</t>
  </si>
  <si>
    <t>Item Total (Qty × Net OEM Price) INR</t>
  </si>
  <si>
    <t>GRAND TOTAL — ALL 10 MODELS COMBINED (INR, excl. GST)</t>
  </si>
  <si>
    <t>SKF</t>
  </si>
  <si>
    <t>10b. Rolling / Bending Shell</t>
  </si>
  <si>
    <t>10c. Welding – Shell &amp; Hub</t>
  </si>
  <si>
    <t>10d. Machining / Turning Body</t>
  </si>
  <si>
    <t>10o. Painting &amp; Surface Prep</t>
  </si>
  <si>
    <t>10p. Assembly + Engineering</t>
  </si>
  <si>
    <t>10q. Testing / Inspection / QC</t>
  </si>
  <si>
    <t>COST RATE TABLES — INDIA OPERATIONS  |  Update all yellow cells here</t>
  </si>
  <si>
    <t>A.  GLOBAL PARAMETERS</t>
  </si>
  <si>
    <t>Parameter</t>
  </si>
  <si>
    <t>Value</t>
  </si>
  <si>
    <t>Notes</t>
  </si>
  <si>
    <t>Exchange Rate EUR → INR</t>
  </si>
  <si>
    <t>INR/EUR</t>
  </si>
  <si>
    <t>Update on calculation date</t>
  </si>
  <si>
    <t>GST Rate</t>
  </si>
  <si>
    <t>Standard 18% GST</t>
  </si>
  <si>
    <t>OEM Discount</t>
  </si>
  <si>
    <t>Standard OEM 10%</t>
  </si>
  <si>
    <t>Price Factor HK0 (markup)</t>
  </si>
  <si>
    <t>×</t>
  </si>
  <si>
    <t>Applied to direct cost → list price</t>
  </si>
  <si>
    <t>Delivery Safety Factor</t>
  </si>
  <si>
    <t>Buffer on base delivery</t>
  </si>
  <si>
    <t>B.  MATERIAL RATES (INR/kg)</t>
  </si>
  <si>
    <t>Material</t>
  </si>
  <si>
    <t>INR/kg</t>
  </si>
  <si>
    <t>EUR/kg</t>
  </si>
  <si>
    <t>Disc plate IS 2062 E350</t>
  </si>
  <si>
    <t>Shell plate IS 2062 E350</t>
  </si>
  <si>
    <t>Shaft – C45 round bar</t>
  </si>
  <si>
    <t>Shaft – 42CrMo4 alloy steel forged</t>
  </si>
  <si>
    <t>Mat+Machining</t>
  </si>
  <si>
    <t>Weld consumables (per kg pulley)</t>
  </si>
  <si>
    <t>C.  MACHINING &amp; LABOUR RATES (INR/hour)</t>
  </si>
  <si>
    <t>Operation</t>
  </si>
  <si>
    <t>INR/h</t>
  </si>
  <si>
    <t>EUR/h</t>
  </si>
  <si>
    <t>Sourcing Default</t>
  </si>
  <si>
    <t>Lathe turning</t>
  </si>
  <si>
    <t>← Auto from MHR &amp; LHR Calculator</t>
  </si>
  <si>
    <t>Rolling / bending</t>
  </si>
  <si>
    <t>Welding (MIG/MAG)</t>
  </si>
  <si>
    <t>Grinding / finishing</t>
  </si>
  <si>
    <t>Assembly labour</t>
  </si>
  <si>
    <t>Engineering / design</t>
  </si>
  <si>
    <t>Heat treatment / annealing (per kg)</t>
  </si>
  <si>
    <t>Stress relief (per kg)</t>
  </si>
  <si>
    <t>Get the Table for rates</t>
  </si>
  <si>
    <t>Balancing (per set)</t>
  </si>
  <si>
    <t>Painting / surface prep (per m²)</t>
  </si>
  <si>
    <t>Machining body – outsourced (per kg)</t>
  </si>
  <si>
    <t>D.  LAGGING RATES (INR/m² — India price list Jan 2026)</t>
  </si>
  <si>
    <t>Thickness mm</t>
  </si>
  <si>
    <t>Lead Time (days)</t>
  </si>
  <si>
    <t>Full ceramic</t>
  </si>
  <si>
    <t>E.  LOGISTICS &amp; PACKING RATES</t>
  </si>
  <si>
    <t>Item</t>
  </si>
  <si>
    <t>Rate</t>
  </si>
  <si>
    <t>Inbound freight – shaft (per kg)</t>
  </si>
  <si>
    <t>Inbound freight – plates (per kg)</t>
  </si>
  <si>
    <t>Inbound freight – purchased parts (per order)</t>
  </si>
  <si>
    <t>INR/order</t>
  </si>
  <si>
    <t>Packing – wood crate (per 100 kg)</t>
  </si>
  <si>
    <t>INR/100kg</t>
  </si>
  <si>
    <t>Outbound shipping FOB (per kg)</t>
  </si>
  <si>
    <t>BEARING, SLEEVE &amp; HOUSING DATA — INDIA SOURCING  |  Reference for Pricing Calculator</t>
  </si>
  <si>
    <t>A.  SPHERICAL ROLLER BEARINGS — INDIA PRICES (SKF/FAG)</t>
  </si>
  <si>
    <t>Designation</t>
  </si>
  <si>
    <t>Bore d (mm)</t>
  </si>
  <si>
    <t>INR Price (ea)</t>
  </si>
  <si>
    <t>EUR Price (ea)</t>
  </si>
  <si>
    <t>Delivery (days)</t>
  </si>
  <si>
    <t>Make / Brand</t>
  </si>
  <si>
    <t>Series</t>
  </si>
  <si>
    <t>22218 EK</t>
  </si>
  <si>
    <t>60</t>
  </si>
  <si>
    <t>SKF/FAG</t>
  </si>
  <si>
    <t>22200</t>
  </si>
  <si>
    <t>22219 EK</t>
  </si>
  <si>
    <t>22220 EK</t>
  </si>
  <si>
    <t>22222 EK</t>
  </si>
  <si>
    <t>22224 EK</t>
  </si>
  <si>
    <t>22226 EK</t>
  </si>
  <si>
    <t>22244 CCK/W33</t>
  </si>
  <si>
    <t>23044 CCK/W33</t>
  </si>
  <si>
    <t>23000</t>
  </si>
  <si>
    <t>23048 CCK/W33</t>
  </si>
  <si>
    <t>23052 CCK/W33</t>
  </si>
  <si>
    <t>23132 CCK/W33</t>
  </si>
  <si>
    <t>23100</t>
  </si>
  <si>
    <t>23134 CCK/W33</t>
  </si>
  <si>
    <t>23138 CCK/W33</t>
  </si>
  <si>
    <t>23152 CCK/W33</t>
  </si>
  <si>
    <t>23160 CCK/W33</t>
  </si>
  <si>
    <t>23164 CCK/W33</t>
  </si>
  <si>
    <t>90</t>
  </si>
  <si>
    <t>23168 CCK/W33</t>
  </si>
  <si>
    <t>120</t>
  </si>
  <si>
    <t>23184 CKJ/W33</t>
  </si>
  <si>
    <t>23188 CAK/W33</t>
  </si>
  <si>
    <t>23192 CAK/W33</t>
  </si>
  <si>
    <t>23196 CAK/W33</t>
  </si>
  <si>
    <t>24132 CCK30/W33</t>
  </si>
  <si>
    <t>24100</t>
  </si>
  <si>
    <t>24140 CCK/C3W33</t>
  </si>
  <si>
    <t>24144 CCK30/W33</t>
  </si>
  <si>
    <t>24160 CCK/W33</t>
  </si>
  <si>
    <t>24172 ECCK30J/W33</t>
  </si>
  <si>
    <t>24180 ECAK30/W33</t>
  </si>
  <si>
    <t>B.  ADAPTER SLEEVES — INDIA PRICES</t>
  </si>
  <si>
    <t>Sleeve Code</t>
  </si>
  <si>
    <t>For Bearing</t>
  </si>
  <si>
    <t>H 318</t>
  </si>
  <si>
    <t>H 319</t>
  </si>
  <si>
    <t>H 320</t>
  </si>
  <si>
    <t>H 322</t>
  </si>
  <si>
    <t>H 3124</t>
  </si>
  <si>
    <t>H 3126</t>
  </si>
  <si>
    <t>OH 3136 H</t>
  </si>
  <si>
    <t>OH 3044 H</t>
  </si>
  <si>
    <t>OH 3048 H</t>
  </si>
  <si>
    <t>OH 3052 H</t>
  </si>
  <si>
    <t>OH 3060 H</t>
  </si>
  <si>
    <t>OH 3064 H</t>
  </si>
  <si>
    <t>OH 3144 H</t>
  </si>
  <si>
    <t>OH 3160 H</t>
  </si>
  <si>
    <t>H 3164</t>
  </si>
  <si>
    <t>IN-HOUSE PROCESSING — OPERATION HOURS &amp; COST BY MODEL</t>
  </si>
  <si>
    <t>Links to MHR &amp; LHR Calculator → rates auto-update. Enter Run Time (min) and Setup Time (min) per operation per model.</t>
  </si>
  <si>
    <t>Cost Head</t>
  </si>
  <si>
    <t>Cost Centre</t>
  </si>
  <si>
    <t>Activity Description</t>
  </si>
  <si>
    <t>MHR Rate
(INR/hr)</t>
  </si>
  <si>
    <t>MODEL 1</t>
  </si>
  <si>
    <t>MODEL 2</t>
  </si>
  <si>
    <t>MODEL 3</t>
  </si>
  <si>
    <t>MODEL 4</t>
  </si>
  <si>
    <t>MODEL 5</t>
  </si>
  <si>
    <t>MODEL 6</t>
  </si>
  <si>
    <t>MODEL 7</t>
  </si>
  <si>
    <t>MODEL 8</t>
  </si>
  <si>
    <t>MODEL 9</t>
  </si>
  <si>
    <t>MODEL 10</t>
  </si>
  <si>
    <t>Run
(min)</t>
  </si>
  <si>
    <t>Setup
(min)</t>
  </si>
  <si>
    <t>Total
Hours</t>
  </si>
  <si>
    <t>Cost
(INR)</t>
  </si>
  <si>
    <t>Testing / Inspection</t>
  </si>
  <si>
    <t>Painting</t>
  </si>
  <si>
    <t>DRIVE PULLEY — INDIA DELIVERY SCHEDULE  |  Days from order to dispatch</t>
  </si>
  <si>
    <t>Sourcing selection (Yellow = override) drives delivery time automatically</t>
  </si>
  <si>
    <t>Process / Activity</t>
  </si>
  <si>
    <t>Sourcing</t>
  </si>
  <si>
    <t>Std. Days</t>
  </si>
  <si>
    <t>Override Days</t>
  </si>
  <si>
    <t>Model1</t>
  </si>
  <si>
    <t>Model2</t>
  </si>
  <si>
    <t>── PHASE 0: PLANNING &amp; PROCUREMENT ──</t>
  </si>
  <si>
    <t xml:space="preserve">  BOM Release &amp; Engineering Sign-off</t>
  </si>
  <si>
    <t>h</t>
  </si>
  <si>
    <t>Hours converted: ~2h = 0.25 day</t>
  </si>
  <si>
    <t xml:space="preserve">  Purchasing – Critical Parts</t>
  </si>
  <si>
    <t>days</t>
  </si>
  <si>
    <t>Internal purchasing dept</t>
  </si>
  <si>
    <t>── PHASE 1: PULLEY BODY ──</t>
  </si>
  <si>
    <t xml:space="preserve">  Shell Plate Procurement</t>
  </si>
  <si>
    <t>Plate mill lead time</t>
  </si>
  <si>
    <t xml:space="preserve">  Logistic – Plates to Works</t>
  </si>
  <si>
    <t>Logistics</t>
  </si>
  <si>
    <t xml:space="preserve">  Weld Preparation</t>
  </si>
  <si>
    <t>Calc from geometry</t>
  </si>
  <si>
    <t xml:space="preserve">  Rolling / Bending + Calibration</t>
  </si>
  <si>
    <t>In-house rolling</t>
  </si>
  <si>
    <t xml:space="preserve">  Tacking &amp; Grinding Shell</t>
  </si>
  <si>
    <t xml:space="preserve">  Heat-up &amp; Longitudinal Weld</t>
  </si>
  <si>
    <t xml:space="preserve">  Ready Tube (outsourced shell option)</t>
  </si>
  <si>
    <t>If tube outsourced: 14d</t>
  </si>
  <si>
    <t xml:space="preserve">  Logistic – Ready Tube</t>
  </si>
  <si>
    <t>Only if outsourced</t>
  </si>
  <si>
    <t xml:space="preserve">  Hub Material Procurement</t>
  </si>
  <si>
    <t>Cast / forged hub</t>
  </si>
  <si>
    <t xml:space="preserve">  Logistic – Hub Material</t>
  </si>
  <si>
    <t xml:space="preserve">  Hub Pre-Turning</t>
  </si>
  <si>
    <t>Depends on size</t>
  </si>
  <si>
    <t xml:space="preserve">  Hub-to-Shell Tacking &amp; Grinding</t>
  </si>
  <si>
    <t xml:space="preserve">  Hub-to-Shell Weld</t>
  </si>
  <si>
    <t>── PHASE 2: POST-WELD PROCESSING ──</t>
  </si>
  <si>
    <t xml:space="preserve">  Stress Relief Annealing</t>
  </si>
  <si>
    <t>Outsourced heat treater</t>
  </si>
  <si>
    <t xml:space="preserve">  Logistic – Stress Relief (both ways)</t>
  </si>
  <si>
    <t>To/from heat treater</t>
  </si>
  <si>
    <t xml:space="preserve">  Machining – Body (turning, boring, facing)</t>
  </si>
  <si>
    <t>Can be in-house or outsourced</t>
  </si>
  <si>
    <t xml:space="preserve">  Test &amp; Dynamic Balancing</t>
  </si>
  <si>
    <t>── PHASE 3: PURCHASED COMPONENTS ──</t>
  </si>
  <si>
    <t xml:space="preserve">  Shaft (Procurement / Machining)</t>
  </si>
  <si>
    <t>Forged shaft lead time</t>
  </si>
  <si>
    <t xml:space="preserve">  Bearing (Procurement)</t>
  </si>
  <si>
    <t>SKF/FAG India: 60-120d</t>
  </si>
  <si>
    <t xml:space="preserve">  Bearing Housing (Procurement)</t>
  </si>
  <si>
    <t>MASTA/SKF housing</t>
  </si>
  <si>
    <t xml:space="preserve">  Adapter Sleeve (Procurement)</t>
  </si>
  <si>
    <t xml:space="preserve">  Locking Device (Procurement)</t>
  </si>
  <si>
    <t>NMTG / BIKON</t>
  </si>
  <si>
    <t>── PHASE 4: LAGGING ──</t>
  </si>
  <si>
    <t xml:space="preserve">  Lagging Application</t>
  </si>
  <si>
    <t>Rubber hot vulcanised</t>
  </si>
  <si>
    <t xml:space="preserve">  Logistic – Lagging (both ways)</t>
  </si>
  <si>
    <t>── PHASE 5: FINAL ASSEMBLY &amp; DISPATCH ──</t>
  </si>
  <si>
    <t xml:space="preserve">  Final Assembly &amp; Inspection</t>
  </si>
  <si>
    <t xml:space="preserve">  Painting &amp; Packing</t>
  </si>
  <si>
    <t xml:space="preserve">  Weekend Buffer</t>
  </si>
  <si>
    <t>~10% for weekends</t>
  </si>
  <si>
    <t>TOTAL CALENDAR DAYS (Parallel-path critical items)</t>
  </si>
  <si>
    <t>calendar</t>
  </si>
  <si>
    <t>→ Delivery Weeks (÷7, apply safety factor)</t>
  </si>
  <si>
    <t>NOTE: Actual lead time is driven by the CRITICAL PATH (longest parallel chain). Typically: Bearing/Housing (98-120 days) or Shaft (84 days) determines the schedule. Body manufacturing (81 days) usually runs in parallel. Change sourcing to 'Outsource' to activate outsourced lead times.</t>
  </si>
  <si>
    <t>MACHINE HOUR RATE (MHR) &amp; LABOUR HOUR RATE (LHR) CALCULATOR</t>
  </si>
  <si>
    <t>India Operations | All rates auto-feed into Cost Rate Tables</t>
  </si>
  <si>
    <t>COST ELEMENT</t>
  </si>
  <si>
    <t>Lathe / Turning</t>
  </si>
  <si>
    <t>Rolling / Bending</t>
  </si>
  <si>
    <t>Grinding / Finishing</t>
  </si>
  <si>
    <t>Assembly</t>
  </si>
  <si>
    <t>Engineering</t>
  </si>
  <si>
    <t>1.  MACHINE CAPACITY &amp; AVAILABILITY</t>
  </si>
  <si>
    <t>Working Days per Year</t>
  </si>
  <si>
    <t>Shifts per Day</t>
  </si>
  <si>
    <t>shifts</t>
  </si>
  <si>
    <t>Hours per Shift</t>
  </si>
  <si>
    <t>h/shift</t>
  </si>
  <si>
    <t>Total Available Hours / Year [auto]</t>
  </si>
  <si>
    <t>h/yr</t>
  </si>
  <si>
    <t>Planned Machine Utilisation %</t>
  </si>
  <si>
    <t>Effective Productive Hours / Year [auto]</t>
  </si>
  <si>
    <t>2.  MACHINE ANNUAL COSTS  (INR per year)</t>
  </si>
  <si>
    <t>Machine Purchase / Replacement Cost</t>
  </si>
  <si>
    <t>Machine Life (years)</t>
  </si>
  <si>
    <t>years</t>
  </si>
  <si>
    <t>Residual / Scrap Value %</t>
  </si>
  <si>
    <t>Depreciation / year [auto: SLM]</t>
  </si>
  <si>
    <t>INR/yr</t>
  </si>
  <si>
    <t>Connected Load (kW)</t>
  </si>
  <si>
    <t>kW</t>
  </si>
  <si>
    <t>Average Load Factor</t>
  </si>
  <si>
    <t>Electricity Tariff (INR/kWh)</t>
  </si>
  <si>
    <t>INR/kWh</t>
  </si>
  <si>
    <t>Power Cost / year [auto]</t>
  </si>
  <si>
    <t>Maintenance Cost % of Machine Value</t>
  </si>
  <si>
    <t>Maintenance Cost / year [auto]</t>
  </si>
  <si>
    <t>Consumables &amp; Tooling (INR/year)</t>
  </si>
  <si>
    <t>Floor Space Area (m²)</t>
  </si>
  <si>
    <t>Factory Rent / m² / month (INR)</t>
  </si>
  <si>
    <t>Floor Rent / year [auto]</t>
  </si>
  <si>
    <t>Insurance (INR/year)</t>
  </si>
  <si>
    <t>Factory Overhead Allocation (INR/year)</t>
  </si>
  <si>
    <t>TOTAL MACHINE COST / YEAR  (INR)</t>
  </si>
  <si>
    <t>Total Machine Cost / Year [auto]</t>
  </si>
  <si>
    <t>3.  LABOUR COST INPUTS  (per machine / workstation)</t>
  </si>
  <si>
    <t>No. of Operators per Machine</t>
  </si>
  <si>
    <t>Operator Salary / month (CTC, INR)</t>
  </si>
  <si>
    <t>INR/mo</t>
  </si>
  <si>
    <t>Operator Annual Cost [auto: ×13.5 incl. bonus]</t>
  </si>
  <si>
    <t>Supervisor Salary / month (CTC, INR)</t>
  </si>
  <si>
    <t>No. of Machines Supervised (shared)</t>
  </si>
  <si>
    <t>Supervisor Cost Allocated / Machine [auto]</t>
  </si>
  <si>
    <t>No. of Helper / Unskilled Workers</t>
  </si>
  <si>
    <t>Helper Salary / month (INR)</t>
  </si>
  <si>
    <t>Helper Annual Cost [auto]</t>
  </si>
  <si>
    <t>ESI / PF / Gratuity (% of salary bill)</t>
  </si>
  <si>
    <t>Statutory Contributions [auto]</t>
  </si>
  <si>
    <t>Safety / PPE / Training (INR/year)</t>
  </si>
  <si>
    <t>TOTAL LABOUR COST / YEAR  (INR)</t>
  </si>
  <si>
    <t>Total Labour Cost / Year [auto]</t>
  </si>
  <si>
    <t>4.  RATE CALCULATION — MHR &amp; LHR  (INR / Productive Hour)</t>
  </si>
  <si>
    <t>Total Cost (Machine + Labour) / Year [auto]</t>
  </si>
  <si>
    <t>◆ MACHINE HOUR RATE (MHR)  [auto]</t>
  </si>
  <si>
    <t>◆ LABOUR HOUR RATE (LHR)  [auto]</t>
  </si>
  <si>
    <t>◆ COMBINED RATE (MHR + LHR)  ← feeds Cost Rate Tables</t>
  </si>
  <si>
    <t xml:space="preserve">  MHR only (machine cost only)</t>
  </si>
  <si>
    <t xml:space="preserve">  LHR only (labour cost only)</t>
  </si>
  <si>
    <t>5.  STANDARD OPERATION TIMES  (hours per tonne of pulley body)</t>
  </si>
  <si>
    <t xml:space="preserve">  Standard times below are hours per tonne of pulley body mass. Override yellow cells. Total INR/tonne and INR/kg auto-calculated from combined rate above.</t>
  </si>
  <si>
    <t>Lathe</t>
  </si>
  <si>
    <t>Rolling</t>
  </si>
  <si>
    <t>Welding</t>
  </si>
  <si>
    <t>Grinding</t>
  </si>
  <si>
    <t>Shell body turning</t>
  </si>
  <si>
    <t>h/tonne</t>
  </si>
  <si>
    <t>Rolling / bending shell</t>
  </si>
  <si>
    <t>Longitudinal weld</t>
  </si>
  <si>
    <t>Hub turning</t>
  </si>
  <si>
    <t>Hub-shell weld</t>
  </si>
  <si>
    <t>Surface prep / painting</t>
  </si>
  <si>
    <t>Engineering &amp; design</t>
  </si>
  <si>
    <t>h/order</t>
  </si>
  <si>
    <t>COST PER TONNE  (INR/tonne at combined MHR+LHR rate)</t>
  </si>
  <si>
    <t>Total In-house Processing Cost / tonne [auto]</t>
  </si>
  <si>
    <t>INR/t</t>
  </si>
  <si>
    <t>→ Cost per kg (INR/kg) [auto]</t>
  </si>
  <si>
    <t>6.  COST RATE TABLE FEED — VALUES PUSHED TO 'Cost Rate Tables' SHEET</t>
  </si>
  <si>
    <t xml:space="preserve">  The 'Cost Rate Tables' sheet references the combined rates below directly. Change inputs above → rates update → all pricing auto-recalculates.</t>
  </si>
  <si>
    <t>Lathe / Turning rate → Cost Rate Tables C22</t>
  </si>
  <si>
    <t>← Auto-feeds from D55 (Lathe / Turning)</t>
  </si>
  <si>
    <t>Rolling / Bending rate → C23</t>
  </si>
  <si>
    <t>← Auto-feeds from E55 (Rolling / Bending)</t>
  </si>
  <si>
    <t>Welding rate → C24</t>
  </si>
  <si>
    <t>← Auto-feeds from F55 (Welding (MIG/MAG))</t>
  </si>
  <si>
    <t>Grinding / Finishing rate → C25</t>
  </si>
  <si>
    <t>← Auto-feeds from G55 (Grinding / Finishing)</t>
  </si>
  <si>
    <t>Assembly Labour rate → C26</t>
  </si>
  <si>
    <t>← Auto-feeds from H55 (Assembly)</t>
  </si>
  <si>
    <t>Painting / Blasting rate → C31</t>
  </si>
  <si>
    <t>← Auto-feeds from I55 (Painting / Blasting)</t>
  </si>
  <si>
    <t>Engineering rate → C27</t>
  </si>
  <si>
    <t>← Auto-feeds from J55 (Engineering)</t>
  </si>
  <si>
    <t>INR/piece</t>
  </si>
  <si>
    <t>EUR/piece</t>
  </si>
  <si>
    <t>21316 EK</t>
  </si>
  <si>
    <t>22209 EK</t>
  </si>
  <si>
    <t>22210 EK</t>
  </si>
  <si>
    <t>22211 EK</t>
  </si>
  <si>
    <t>22213 E</t>
  </si>
  <si>
    <t>22215 EK</t>
  </si>
  <si>
    <t>22216 EK</t>
  </si>
  <si>
    <t>22217 EK</t>
  </si>
  <si>
    <t>22230 CCK/W33</t>
  </si>
  <si>
    <t>22234 CCK/C3W33</t>
  </si>
  <si>
    <t>22236 CCK/W33</t>
  </si>
  <si>
    <t>22238 CCK/W33</t>
  </si>
  <si>
    <t>22240 CCK/W33</t>
  </si>
  <si>
    <t>22318 E</t>
  </si>
  <si>
    <t>22319 E</t>
  </si>
  <si>
    <t>22326 CCK/W33</t>
  </si>
  <si>
    <t>22328 CCK/W33</t>
  </si>
  <si>
    <t>22330 CCK/W33</t>
  </si>
  <si>
    <t>23024 CCK/W33</t>
  </si>
  <si>
    <t>23028 CCK/W33</t>
  </si>
  <si>
    <t>23030 CCK/W33</t>
  </si>
  <si>
    <t>23034 CCK/W33</t>
  </si>
  <si>
    <t>23036 CCK/W33</t>
  </si>
  <si>
    <t>23038 CCK/W33</t>
  </si>
  <si>
    <t>23040 CCK/W33</t>
  </si>
  <si>
    <t>23056 CCK/W33</t>
  </si>
  <si>
    <t>23060 CCK/W33</t>
  </si>
  <si>
    <t>23064 CCK/W33</t>
  </si>
  <si>
    <t>23126 CCK/W33</t>
  </si>
  <si>
    <t>23140 CCK/W33</t>
  </si>
  <si>
    <t>Rate Based on Actuals</t>
  </si>
  <si>
    <t>23156 CCK/W33</t>
  </si>
  <si>
    <t>23172 CCK/W33</t>
  </si>
  <si>
    <t>23222 CCK/W33</t>
  </si>
  <si>
    <t>23224 CCK/W33</t>
  </si>
  <si>
    <t>23226 CCK/W33</t>
  </si>
  <si>
    <t>23228 CCK/W33</t>
  </si>
  <si>
    <t>23232 CCK/W33</t>
  </si>
  <si>
    <t>23236 CCK/W33</t>
  </si>
  <si>
    <t>24130 CCK30/W33</t>
  </si>
  <si>
    <t>24134 CCK/W33</t>
  </si>
  <si>
    <t>24138 CCK30/W33</t>
  </si>
  <si>
    <t>24148 CCK/W33</t>
  </si>
  <si>
    <t>24156 CCK/W33</t>
  </si>
  <si>
    <t>24188 ECAK30/W33</t>
  </si>
  <si>
    <t>24196 ECA/W33</t>
  </si>
  <si>
    <t>231/500 CAK/W33</t>
  </si>
  <si>
    <t>231/530 CAK/W33</t>
  </si>
  <si>
    <t>231/600 CAK/W33</t>
  </si>
  <si>
    <t>231/710 CAK/W33</t>
  </si>
  <si>
    <t>231/750 CAK/W33</t>
  </si>
  <si>
    <t>231/850 CAK/W33</t>
  </si>
  <si>
    <t>230/750 CAK/W33</t>
  </si>
  <si>
    <t>232/530 CAK/W33</t>
  </si>
  <si>
    <t>232/560 CAK/W33</t>
  </si>
  <si>
    <t>232/600 CAK/W33</t>
  </si>
  <si>
    <t>241/500 ECAK30/W33</t>
  </si>
  <si>
    <t>241/530 ECAK30/W33</t>
  </si>
  <si>
    <t>241/600 ECAK30/W33</t>
  </si>
  <si>
    <t>241/710 ECAK30/W33</t>
  </si>
  <si>
    <t>241/850 ECAK30F/W33</t>
  </si>
  <si>
    <t>For Bearing (key)</t>
  </si>
  <si>
    <t>H 316</t>
  </si>
  <si>
    <t>H 309</t>
  </si>
  <si>
    <t>H 310</t>
  </si>
  <si>
    <t>H 311</t>
  </si>
  <si>
    <t>H 313</t>
  </si>
  <si>
    <t>H 315</t>
  </si>
  <si>
    <t>H 317</t>
  </si>
  <si>
    <t>H 3130</t>
  </si>
  <si>
    <t>HA 3138</t>
  </si>
  <si>
    <t>H 3028</t>
  </si>
  <si>
    <t>H 3030</t>
  </si>
  <si>
    <t>H 3034</t>
  </si>
  <si>
    <t>H 3036</t>
  </si>
  <si>
    <t>H 3038</t>
  </si>
  <si>
    <t>H 3040</t>
  </si>
  <si>
    <t>H 3056 HG</t>
  </si>
  <si>
    <t>H 3134</t>
  </si>
  <si>
    <t>H 3138</t>
  </si>
  <si>
    <t>H 3140</t>
  </si>
  <si>
    <t>Based on Actuls</t>
  </si>
  <si>
    <t>OH 3152 H</t>
  </si>
  <si>
    <t>OH 3156 H</t>
  </si>
  <si>
    <t>OH 3164 H</t>
  </si>
  <si>
    <t>OH 3168 H</t>
  </si>
  <si>
    <t>OH 3172 H</t>
  </si>
  <si>
    <t>OH 3184 H</t>
  </si>
  <si>
    <t>H 3188 H</t>
  </si>
  <si>
    <t>H 3192 H</t>
  </si>
  <si>
    <t>OH 3196 H</t>
  </si>
  <si>
    <t>H 31/500 H</t>
  </si>
  <si>
    <t>H 31/530 HG</t>
  </si>
  <si>
    <t>H 31/600 H</t>
  </si>
  <si>
    <t>H 31/710 H</t>
  </si>
  <si>
    <t>OH 31/750 H</t>
  </si>
  <si>
    <t>OH 31/850 H</t>
  </si>
  <si>
    <t>OH 32/530 H</t>
  </si>
  <si>
    <t>H 32/560 HG</t>
  </si>
  <si>
    <t>OH 32/600 H</t>
  </si>
  <si>
    <t>H 241/600 HG</t>
  </si>
  <si>
    <t>OH 241/710 H</t>
  </si>
  <si>
    <t>H 241/850 HG</t>
  </si>
  <si>
    <t>H 30/750 HG</t>
  </si>
  <si>
    <t>H 3032</t>
  </si>
  <si>
    <t>H 3044</t>
  </si>
  <si>
    <t>OH 3056 H</t>
  </si>
  <si>
    <t>H 241/500 HG</t>
  </si>
  <si>
    <t>H 241/530 HG</t>
  </si>
  <si>
    <t>SNL 511-609</t>
  </si>
  <si>
    <t>SNL 513-611</t>
  </si>
  <si>
    <t>SNL 515-612</t>
  </si>
  <si>
    <t>SNL 516-613</t>
  </si>
  <si>
    <t>SNL 517</t>
  </si>
  <si>
    <t>SNL 518-615</t>
  </si>
  <si>
    <t>SNL 519-616</t>
  </si>
  <si>
    <t>SNL 520-617</t>
  </si>
  <si>
    <t>SNL 522-619</t>
  </si>
  <si>
    <t>FSNL 524-620</t>
  </si>
  <si>
    <t>SNL 526</t>
  </si>
  <si>
    <t>SNL 530</t>
  </si>
  <si>
    <t>SNL 3138</t>
  </si>
  <si>
    <t>SNL 3034</t>
  </si>
  <si>
    <t>SNL 3036</t>
  </si>
  <si>
    <t>SNL 3038</t>
  </si>
  <si>
    <t>SNL 3040</t>
  </si>
  <si>
    <t>SNL 3044</t>
  </si>
  <si>
    <t>SNL 3048</t>
  </si>
  <si>
    <t>SNL 3052</t>
  </si>
  <si>
    <t>SNL 3056</t>
  </si>
  <si>
    <t>SNL 3060</t>
  </si>
  <si>
    <t>SNL 3064</t>
  </si>
  <si>
    <t>SNL 3126</t>
  </si>
  <si>
    <t>SNL 3134</t>
  </si>
  <si>
    <t>SNL 3140</t>
  </si>
  <si>
    <t>SNL 3152</t>
  </si>
  <si>
    <t>SNL 3156</t>
  </si>
  <si>
    <t>SNL 3160</t>
  </si>
  <si>
    <t>SNL 3164</t>
  </si>
  <si>
    <t>SNL 3168</t>
  </si>
  <si>
    <t>SNL 3172</t>
  </si>
  <si>
    <t>SNL 3184</t>
  </si>
  <si>
    <t>SNL 3188</t>
  </si>
  <si>
    <t>SNL 3192</t>
  </si>
  <si>
    <t>SNL 3196</t>
  </si>
  <si>
    <t>SNL 3030</t>
  </si>
  <si>
    <t>SNL 3032</t>
  </si>
  <si>
    <t>SNL 31/500</t>
  </si>
  <si>
    <t>SNL 31/530</t>
  </si>
  <si>
    <t>SNL 31/600</t>
  </si>
  <si>
    <t>SNL 31/710</t>
  </si>
  <si>
    <t>SNL 31/750</t>
  </si>
  <si>
    <t>SNL 31/850</t>
  </si>
  <si>
    <t>SNL 30/750</t>
  </si>
  <si>
    <t>SNL 32/530</t>
  </si>
  <si>
    <t>SNL 32/560</t>
  </si>
  <si>
    <t>SNL 32/600</t>
  </si>
  <si>
    <t>Lagging Type (key)</t>
  </si>
  <si>
    <t>Thickness (mm)</t>
  </si>
  <si>
    <t>Description</t>
  </si>
  <si>
    <t>Rubber vulc. 12mm</t>
  </si>
  <si>
    <t>Rubber hot vulcanized 12mm</t>
  </si>
  <si>
    <t>Rubber vulc. 15mm</t>
  </si>
  <si>
    <t>Rubber hot vulcanized 15mm</t>
  </si>
  <si>
    <t>Rubber vulc. 20mm</t>
  </si>
  <si>
    <t>Rubber hot vulcanized 20mm</t>
  </si>
  <si>
    <t>Rubber vulc. 25mm</t>
  </si>
  <si>
    <t>Rubber hot vulcanized 25mm</t>
  </si>
  <si>
    <t>Rubber vulc. 30mm</t>
  </si>
  <si>
    <t>Rubber hot vulcanized 30mm</t>
  </si>
  <si>
    <t>Rubber + ceramic inserts 15mm</t>
  </si>
  <si>
    <t>Rubber + ceramic inserts 20mm</t>
  </si>
  <si>
    <t>Rubber + ceramic inserts 25mm</t>
  </si>
  <si>
    <t>Ceramic tile 6mm</t>
  </si>
  <si>
    <t>Full ceramic tiles 6mm</t>
  </si>
  <si>
    <t>Ceramic tile 10mm</t>
  </si>
  <si>
    <t>Full ceramic tiles 10mm</t>
  </si>
  <si>
    <t>No lagging — bare shell</t>
  </si>
  <si>
    <t xml:space="preserve">    Total Rematerialise Cost (A)</t>
  </si>
  <si>
    <t xml:space="preserve">    Total Ancillary Parts Cost (B)</t>
  </si>
  <si>
    <t xml:space="preserve">    Total In-House Processing (C)</t>
  </si>
  <si>
    <t xml:space="preserve">    Total Outsourced Processing (D)</t>
  </si>
  <si>
    <t xml:space="preserve">    Total Packing &amp; Shipment (E)</t>
  </si>
  <si>
    <t>C1. Rolling / Bending Shell</t>
  </si>
  <si>
    <t>C2. Welding – Shell &amp; Hub</t>
  </si>
  <si>
    <t>C3. Machining / Turning Body</t>
  </si>
  <si>
    <t>C4. Assembly + Engineering</t>
  </si>
  <si>
    <t>C5. Testing / Inspection / QC</t>
  </si>
  <si>
    <t>C6. Painting &amp; Surface Prep</t>
  </si>
  <si>
    <t>C7. Hub Pre-Turning</t>
  </si>
  <si>
    <t xml:space="preserve"> PULLEY — PRICING TOOL  (VTIP)</t>
  </si>
  <si>
    <t>Grease</t>
  </si>
  <si>
    <t>Sheel Plate Weight (Kg)</t>
  </si>
  <si>
    <t>MODEL 1
Pulley</t>
  </si>
  <si>
    <t>MODEL 2
 Pulley</t>
  </si>
  <si>
    <t>MODEL 3
 Pulley</t>
  </si>
  <si>
    <t>MODEL 4
 Pulley</t>
  </si>
  <si>
    <t>MODEL 5
 Pulley</t>
  </si>
  <si>
    <t>MODEL 6
 Pulley</t>
  </si>
  <si>
    <t>MODEL 7
 Pulley</t>
  </si>
  <si>
    <t>MODEL 8
 Pulley</t>
  </si>
  <si>
    <t>MODEL 9
 Pulley</t>
  </si>
  <si>
    <t>MODEL 10
 Pulley</t>
  </si>
  <si>
    <t>Shell Thickness</t>
  </si>
  <si>
    <t>Overall Pulley Diameter with Lagging</t>
  </si>
  <si>
    <t>Sheet Width</t>
  </si>
  <si>
    <t>Sheet Length</t>
  </si>
  <si>
    <t>A6. Greese (per kg pulley)</t>
  </si>
  <si>
    <t xml:space="preserve">  Total Bearings + Sleeves + Housings (2× each)</t>
  </si>
  <si>
    <t>Shell Rate Per Kg</t>
  </si>
  <si>
    <t>End Disk Per Kg</t>
  </si>
  <si>
    <t>Shaft Per Kg</t>
  </si>
  <si>
    <t xml:space="preserve"> PULLEY — PRICING TOOL INPUT DATA SHEET (VTIP)</t>
  </si>
  <si>
    <t>Customer Name :</t>
  </si>
  <si>
    <t>XYZ PVT LTD</t>
  </si>
  <si>
    <t>Final Destination:</t>
  </si>
  <si>
    <t>Lima - Peru</t>
  </si>
  <si>
    <t>Payment Terms</t>
  </si>
  <si>
    <t>Ex Works Hyderabad</t>
  </si>
  <si>
    <t>Incoterms</t>
  </si>
  <si>
    <t>Date:</t>
  </si>
  <si>
    <t>Techinical Data:</t>
  </si>
  <si>
    <t>Mr.Adam</t>
  </si>
  <si>
    <t>Delivery Time:</t>
  </si>
  <si>
    <t>18 Weeks</t>
  </si>
  <si>
    <t>Version:</t>
  </si>
  <si>
    <t>Ver-1</t>
  </si>
  <si>
    <t>live shaft pulley</t>
  </si>
  <si>
    <t>welded in welded hub</t>
  </si>
  <si>
    <t>Shell  Raw Thickness</t>
  </si>
  <si>
    <t>ID</t>
  </si>
  <si>
    <t>OD</t>
  </si>
  <si>
    <t>Shell Legth Calc</t>
  </si>
  <si>
    <t>Thinkness</t>
  </si>
  <si>
    <t>Thik*width*lentght*Mat dencity</t>
  </si>
  <si>
    <t>NMDC</t>
  </si>
  <si>
    <t>P0108789-Pulleys for -01352532</t>
  </si>
  <si>
    <t>pulley_1</t>
  </si>
  <si>
    <t>pulley_2</t>
  </si>
  <si>
    <t>pulley_3</t>
  </si>
  <si>
    <t>pulley_4</t>
  </si>
  <si>
    <t>pulley_5</t>
  </si>
  <si>
    <t>pulley_6</t>
  </si>
  <si>
    <t>pulley_7</t>
  </si>
  <si>
    <t>pulley_8</t>
  </si>
  <si>
    <t>pulley_9</t>
  </si>
  <si>
    <t>pulley_10</t>
  </si>
  <si>
    <t>pulley_11</t>
  </si>
  <si>
    <t>pulley_12</t>
  </si>
  <si>
    <t>pulley_13</t>
  </si>
  <si>
    <t>pulley_14</t>
  </si>
  <si>
    <t>pulley_15</t>
  </si>
  <si>
    <t>pulley_16</t>
  </si>
  <si>
    <t>pulley_17</t>
  </si>
  <si>
    <t>MODEL 11
 Pulley</t>
  </si>
  <si>
    <t>MODEL 12
 Pulley</t>
  </si>
  <si>
    <t>MODEL 13
 Pulley</t>
  </si>
  <si>
    <t>MODEL 14
 Pulley</t>
  </si>
  <si>
    <t>MODEL 15
 Pulley</t>
  </si>
  <si>
    <t>MODEL 16
 Pulley</t>
  </si>
  <si>
    <t>MODEL 17
 Pulley</t>
  </si>
  <si>
    <t>Profiled T/C-hub</t>
  </si>
  <si>
    <t>welded in solid hub</t>
  </si>
  <si>
    <t>42CrMo4+QT</t>
  </si>
  <si>
    <t>22232 CCK/W33</t>
  </si>
  <si>
    <t>22234 CCK/W33</t>
  </si>
  <si>
    <t>SNL532</t>
  </si>
  <si>
    <t>SNL 3234</t>
  </si>
  <si>
    <t>diameter</t>
  </si>
  <si>
    <t>lenght</t>
  </si>
  <si>
    <t>As-forge/ Kg</t>
  </si>
  <si>
    <t>Ø 80 - 180</t>
  </si>
  <si>
    <t>2000 - 3000</t>
  </si>
  <si>
    <t>Rs 175 - 225</t>
  </si>
  <si>
    <t>Ø 200 - 880</t>
  </si>
  <si>
    <t>2300 - 7300</t>
  </si>
  <si>
    <t>Rs 190 - 240</t>
  </si>
  <si>
    <t>30CrNiMo8+QT/36CrNiMo4+QT/34CrNiMo6+QT</t>
  </si>
  <si>
    <t>Ø 300 - 450</t>
  </si>
  <si>
    <t>As per RFQ</t>
  </si>
  <si>
    <t>Need Basis</t>
  </si>
  <si>
    <t>C45</t>
  </si>
  <si>
    <t>Fully M/C</t>
  </si>
  <si>
    <t>Diameter</t>
  </si>
  <si>
    <t>Ø 410 lg 3900</t>
  </si>
  <si>
    <t>Ø 420-800 lg 2000</t>
  </si>
  <si>
    <t>?</t>
  </si>
  <si>
    <t>All measurements in [mm]</t>
  </si>
  <si>
    <t>Diameter Body</t>
  </si>
  <si>
    <t>Face width Body</t>
  </si>
  <si>
    <t xml:space="preserve"> Wall Thickness Body --&gt; sheet +x mm</t>
  </si>
  <si>
    <t>Welded-in plate thickness</t>
  </si>
  <si>
    <t>T-bottom thickness</t>
  </si>
  <si>
    <t>Rate /Kg (End Plate)</t>
  </si>
  <si>
    <t>Rate /Kg (Sheet)</t>
  </si>
  <si>
    <t>300 - &lt;=500</t>
  </si>
  <si>
    <t>800-1200</t>
  </si>
  <si>
    <t>10-12</t>
  </si>
  <si>
    <t>50-80</t>
  </si>
  <si>
    <t xml:space="preserve"> -</t>
  </si>
  <si>
    <t>Rs 135-140</t>
  </si>
  <si>
    <t>1200-2500</t>
  </si>
  <si>
    <t>15-40</t>
  </si>
  <si>
    <t>50-90</t>
  </si>
  <si>
    <t>100-150</t>
  </si>
  <si>
    <t>Rs 195 - 210</t>
  </si>
  <si>
    <t>Rs 95-110</t>
  </si>
  <si>
    <t>1000-1500</t>
  </si>
  <si>
    <t>1500-2500</t>
  </si>
  <si>
    <t>100-200</t>
  </si>
  <si>
    <t>1500-2000</t>
  </si>
  <si>
    <t>Rs 135 - 145</t>
  </si>
  <si>
    <t>&gt;2000</t>
  </si>
  <si>
    <t>Shaft with Full Machined Scope</t>
  </si>
  <si>
    <t xml:space="preserve">Shell </t>
  </si>
  <si>
    <t>Outsoruced</t>
  </si>
  <si>
    <t>Inhouse</t>
  </si>
  <si>
    <t>&gt;550-1000</t>
  </si>
  <si>
    <t>20-40</t>
  </si>
  <si>
    <t>???</t>
  </si>
  <si>
    <t>Plate</t>
  </si>
  <si>
    <t>End Disc(Hub)</t>
  </si>
  <si>
    <t>Welding (MIG/MAG)
Grinding / finishing</t>
  </si>
  <si>
    <t>MODEL 11</t>
  </si>
  <si>
    <t>MODEL 12</t>
  </si>
  <si>
    <t>MODEL 13</t>
  </si>
  <si>
    <t>MODEL 14</t>
  </si>
  <si>
    <t>MODEL 15</t>
  </si>
  <si>
    <t>MODEL 16</t>
  </si>
  <si>
    <t>MODEL 17</t>
  </si>
  <si>
    <t>Total Offered Price n EUR</t>
  </si>
  <si>
    <t>Model / Size</t>
  </si>
  <si>
    <t>Indicative price per No. (₹)</t>
  </si>
  <si>
    <t>Remarks</t>
  </si>
  <si>
    <t>NMTG N7036-100 × 150</t>
  </si>
  <si>
    <t>₹25,000 – ₹35,000</t>
  </si>
  <si>
    <t>Estimate</t>
  </si>
  <si>
    <t>NMTG N7036-120 × 170</t>
  </si>
  <si>
    <t>₹32,000 – ₹45,000</t>
  </si>
  <si>
    <t>NMTG N7036-140 × 200</t>
  </si>
  <si>
    <t>₹42,000 – ₹58,000</t>
  </si>
  <si>
    <t>NMTG N7036-170 × 240</t>
  </si>
  <si>
    <t>₹60,000 – ₹80,000</t>
  </si>
  <si>
    <t>NMTG N7036-180 × 250</t>
  </si>
  <si>
    <t>₹65,000 – ₹90,000</t>
  </si>
  <si>
    <t>Negotiated Rate</t>
  </si>
  <si>
    <t>NMTG N7036-150 x 210</t>
  </si>
  <si>
    <t>Total HK0 in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</si>
</sst>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0.0%"/>
    <numFmt numFmtId="165" formatCode="#,##0&quot; mm&quot;"/>
    <numFmt numFmtId="166" formatCode="\₹#,##0;&quot;(₹&quot;#,##0\);\-"/>
    <numFmt numFmtId="167" formatCode="#,##0\d"/>
    <numFmt numFmtId="168" formatCode="#,##0&quot;mm&quot;"/>
    <numFmt numFmtId="169" formatCode="\€#,##0.00;&quot;(€&quot;#,##0.00\);\-"/>
    <numFmt numFmtId="170" formatCode="\₹#,##0.00"/>
    <numFmt numFmtId="171" formatCode="#,##0&quot; d&quot;"/>
    <numFmt numFmtId="172" formatCode="#,##0&quot; wks&quot;"/>
    <numFmt numFmtId="173" formatCode="#,##0.0&quot; h&quot;"/>
    <numFmt numFmtId="174" formatCode="\€#,##0.00"/>
    <numFmt numFmtId="175" formatCode="#,##0;\(#,##0\);\-"/>
    <numFmt numFmtId="176" formatCode="0.0"/>
    <numFmt numFmtId="177" formatCode="_-* #,##0_-;\-* #,##0_-;_-* &quot;-&quot;??_-;_-@_-"/>
    <numFmt numFmtId="178" formatCode="&quot;£&quot;#,##0"/>
  </numFmts>
  <fonts count="70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1B2E4A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9"/>
      <color rgb="FF2C2C2C"/>
      <name val="Calibri"/>
      <family val="2"/>
      <charset val="1"/>
    </font>
    <font>
      <b/>
      <sz val="16"/>
      <color rgb="FFFFFFFF"/>
      <name val="Arial"/>
      <family val="2"/>
    </font>
    <font>
      <i/>
      <sz val="9"/>
      <color rgb="FF1F1F1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1F1F1F"/>
      <name val="Arial"/>
      <family val="2"/>
    </font>
    <font>
      <sz val="9"/>
      <color rgb="FF1F1F1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1F1F1F"/>
      <name val="Arial"/>
      <family val="2"/>
    </font>
    <font>
      <b/>
      <sz val="12"/>
      <color rgb="FFFFFFFF"/>
      <name val="Arial"/>
      <family val="2"/>
    </font>
    <font>
      <sz val="9"/>
      <color rgb="FF3C3C3C"/>
      <name val="Calibri"/>
      <family val="2"/>
      <charset val="1"/>
    </font>
    <font>
      <b/>
      <sz val="9"/>
      <color rgb="FF1B2E4A"/>
      <name val="Calibri"/>
      <family val="2"/>
      <charset val="1"/>
    </font>
    <font>
      <b/>
      <sz val="9"/>
      <color rgb="FF2C2C2C"/>
      <name val="Calibri"/>
      <family val="2"/>
      <charset val="1"/>
    </font>
    <font>
      <sz val="10"/>
      <color rgb="FF2C2C2C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2"/>
      <color rgb="FFFFFFFF"/>
      <name val="Calibri"/>
      <family val="2"/>
      <charset val="1"/>
    </font>
    <font>
      <i/>
      <sz val="9"/>
      <color rgb="FF888888"/>
      <name val="Calibri"/>
      <family val="2"/>
      <charset val="1"/>
    </font>
    <font>
      <i/>
      <sz val="8"/>
      <color rgb="FF006633"/>
      <name val="Calibri"/>
      <family val="2"/>
      <charset val="1"/>
    </font>
    <font>
      <b/>
      <sz val="14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888888"/>
      <name val="Calibri"/>
      <family val="2"/>
      <charset val="1"/>
    </font>
    <font>
      <i/>
      <sz val="8"/>
      <color rgb="FF888888"/>
      <name val="Calibri"/>
      <family val="2"/>
      <charset val="1"/>
    </font>
    <font>
      <sz val="9"/>
      <color rgb="FFFFFFFF"/>
      <name val="Calibri"/>
      <family val="2"/>
      <charset val="1"/>
    </font>
    <font>
      <b/>
      <sz val="10"/>
      <color rgb="FF3C3C3C"/>
      <name val="Calibri"/>
      <family val="2"/>
      <charset val="1"/>
    </font>
    <font>
      <b/>
      <sz val="12"/>
      <color rgb="FF3C3C3C"/>
      <name val="Calibri"/>
      <family val="2"/>
      <charset val="1"/>
    </font>
    <font>
      <i/>
      <sz val="8"/>
      <color rgb="FF555555"/>
      <name val="Calibri"/>
      <family val="2"/>
      <charset val="1"/>
    </font>
    <font>
      <b/>
      <sz val="13"/>
      <color rgb="FFFFFFFF"/>
      <name val="Calibri"/>
      <family val="2"/>
      <charset val="1"/>
    </font>
    <font>
      <i/>
      <sz val="8"/>
      <color rgb="FF2C2C2C"/>
      <name val="Calibri"/>
      <family val="2"/>
      <charset val="1"/>
    </font>
    <font>
      <i/>
      <sz val="9"/>
      <color rgb="FF2C2C2C"/>
      <name val="Calibri"/>
      <family val="2"/>
      <charset val="1"/>
    </font>
    <font>
      <b/>
      <sz val="10"/>
      <color rgb="FF2C2C2C"/>
      <name val="Calibri"/>
      <family val="2"/>
      <charset val="1"/>
    </font>
    <font>
      <b/>
      <i/>
      <sz val="8"/>
      <color rgb="FFFFFFFF"/>
      <name val="Calibri"/>
      <family val="2"/>
      <charset val="1"/>
    </font>
    <font>
      <i/>
      <sz val="9"/>
      <color rgb="FF7B5B00"/>
      <name val="Calibri"/>
      <family val="2"/>
      <charset val="1"/>
    </font>
    <font>
      <i/>
      <sz val="9"/>
      <color rgb="FF006633"/>
      <name val="Calibri"/>
      <family val="2"/>
      <charset val="1"/>
    </font>
    <font>
      <sz val="9"/>
      <name val="Calibri"/>
      <family val="2"/>
      <charset val="1"/>
    </font>
    <font>
      <b/>
      <sz val="11"/>
      <color theme="0"/>
      <name val="Arial"/>
      <family val="2"/>
    </font>
    <font>
      <sz val="10"/>
      <color rgb="FF1F497D"/>
      <name val="Calibri"/>
      <family val="2"/>
    </font>
    <font>
      <sz val="10"/>
      <color rgb="FF375623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b/>
      <sz val="10"/>
      <color rgb="FFFFFF00"/>
      <name val="Calibri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0"/>
      <color rgb="FF375623"/>
      <name val="Calibri"/>
      <family val="2"/>
    </font>
    <font>
      <sz val="10"/>
      <color rgb="FF1F497D"/>
      <name val="Calibri"/>
      <family val="2"/>
    </font>
    <font>
      <b/>
      <sz val="10"/>
      <color rgb="FFFFFFFF"/>
      <name val="Calibri"/>
      <family val="2"/>
    </font>
    <font>
      <b/>
      <sz val="11"/>
      <color theme="0"/>
      <name val="Calibri"/>
      <family val="2"/>
    </font>
    <font>
      <sz val="10"/>
      <color rgb="FF375623"/>
      <name val="Arial"/>
      <family val="2"/>
    </font>
    <font>
      <sz val="11"/>
      <color rgb="FF000000"/>
      <name val="Arial"/>
      <family val="2"/>
    </font>
    <font>
      <sz val="10"/>
      <color rgb="FF1F1F1F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sz val="8"/>
      <name val="Calibri"/>
      <family val="2"/>
      <charset val="1"/>
    </font>
    <font>
      <sz val="8"/>
      <color rgb="FF0000FF"/>
      <name val="Arial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  <charset val="1"/>
    </font>
    <font>
      <b/>
      <sz val="9"/>
      <color rgb="FF000000"/>
      <name val="Arial"/>
      <family val="2"/>
    </font>
    <font>
      <b/>
      <sz val="11"/>
      <color theme="1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1B2E4A"/>
        <bgColor rgb="FF1F3864"/>
      </patternFill>
    </fill>
    <fill>
      <patternFill patternType="solid">
        <fgColor rgb="FFE8702A"/>
        <bgColor rgb="FFC9A228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FF9DB"/>
      </patternFill>
    </fill>
    <fill>
      <patternFill patternType="solid">
        <fgColor rgb="FFDCE6F1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D9F0F0"/>
        <bgColor rgb="FFDDEBF7"/>
      </patternFill>
    </fill>
    <fill>
      <patternFill patternType="solid">
        <fgColor rgb="FFEAE0F5"/>
        <bgColor rgb="FFE2D9F3"/>
      </patternFill>
    </fill>
    <fill>
      <patternFill patternType="solid">
        <fgColor rgb="FFF2F2F2"/>
        <bgColor rgb="FFE8F8F0"/>
      </patternFill>
    </fill>
    <fill>
      <patternFill patternType="solid">
        <fgColor rgb="FFFFFFFF"/>
        <bgColor rgb="FFFFFBEC"/>
      </patternFill>
    </fill>
    <fill>
      <patternFill patternType="solid">
        <fgColor rgb="FFE8F8F0"/>
        <bgColor rgb="FFF2F2F2"/>
      </patternFill>
    </fill>
    <fill>
      <patternFill patternType="solid">
        <fgColor rgb="FF1F3864"/>
        <bgColor rgb="FF154360"/>
      </patternFill>
    </fill>
    <fill>
      <patternFill patternType="solid">
        <fgColor rgb="FFDEEAF1"/>
        <bgColor rgb="FFDDEBF7"/>
      </patternFill>
    </fill>
    <fill>
      <patternFill patternType="solid">
        <fgColor rgb="FF2E5FA3"/>
        <bgColor rgb="FF2D5F8A"/>
      </patternFill>
    </fill>
    <fill>
      <patternFill patternType="solid">
        <fgColor rgb="FFFFFF00"/>
        <bgColor rgb="FFFFF2CC"/>
      </patternFill>
    </fill>
    <fill>
      <patternFill patternType="solid">
        <fgColor rgb="FFC9A228"/>
        <bgColor rgb="FFE8702A"/>
      </patternFill>
    </fill>
    <fill>
      <patternFill patternType="solid">
        <fgColor rgb="FF6E2F8C"/>
        <bgColor rgb="FF7030A0"/>
      </patternFill>
    </fill>
    <fill>
      <patternFill patternType="solid">
        <fgColor rgb="FFE2D9F3"/>
        <bgColor rgb="FFEAE0F5"/>
      </patternFill>
    </fill>
    <fill>
      <patternFill patternType="solid">
        <fgColor rgb="FFFCE4D6"/>
        <bgColor rgb="FFFFF2CC"/>
      </patternFill>
    </fill>
    <fill>
      <patternFill patternType="solid">
        <fgColor rgb="FF2D5F8A"/>
        <bgColor rgb="FF2E5FA3"/>
      </patternFill>
    </fill>
    <fill>
      <patternFill patternType="solid">
        <fgColor rgb="FFD0F0EC"/>
        <bgColor rgb="FFD9F0F0"/>
      </patternFill>
    </fill>
    <fill>
      <patternFill patternType="solid">
        <fgColor rgb="FFFFF9DB"/>
        <bgColor rgb="FFFFFBEC"/>
      </patternFill>
    </fill>
    <fill>
      <patternFill patternType="solid">
        <fgColor rgb="FFBDD7EE"/>
        <bgColor rgb="FFD6E4F0"/>
      </patternFill>
    </fill>
    <fill>
      <patternFill patternType="solid">
        <fgColor rgb="FFFFFBEC"/>
        <bgColor rgb="FFFFF9DB"/>
      </patternFill>
    </fill>
    <fill>
      <patternFill patternType="solid">
        <fgColor rgb="FFFFFF00"/>
        <bgColor rgb="FFFFD700"/>
      </patternFill>
    </fill>
    <fill>
      <patternFill patternType="solid">
        <fgColor rgb="FFE2EFDA"/>
        <bgColor rgb="FFD9F0F0"/>
      </patternFill>
    </fill>
    <fill>
      <patternFill patternType="solid">
        <fgColor rgb="FF1F3864"/>
        <bgColor rgb="FF1B2E4A"/>
      </patternFill>
    </fill>
    <fill>
      <patternFill patternType="solid">
        <fgColor rgb="FFD9E9FF"/>
        <bgColor rgb="FFDCE6F1"/>
      </patternFill>
    </fill>
    <fill>
      <patternFill patternType="solid">
        <fgColor rgb="FFEAD1DC"/>
        <bgColor rgb="FFEAE0F5"/>
      </patternFill>
    </fill>
    <fill>
      <patternFill patternType="solid">
        <fgColor rgb="FF4B0082"/>
        <bgColor rgb="FF800080"/>
      </patternFill>
    </fill>
    <fill>
      <patternFill patternType="solid">
        <fgColor rgb="FF1E5631"/>
        <bgColor rgb="FF375623"/>
      </patternFill>
    </fill>
    <fill>
      <patternFill patternType="solid">
        <fgColor rgb="FF002060"/>
        <bgColor rgb="FFE8702A"/>
      </patternFill>
    </fill>
    <fill>
      <patternFill patternType="solid">
        <fgColor theme="8" tint="-0.249977111117893"/>
        <bgColor rgb="FF800080"/>
      </patternFill>
    </fill>
    <fill>
      <patternFill patternType="solid">
        <fgColor theme="8" tint="-0.249977111117893"/>
        <bgColor rgb="FF7B5B00"/>
      </patternFill>
    </fill>
    <fill>
      <patternFill patternType="solid">
        <fgColor theme="8" tint="0.79998168889431442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rgb="FFFFF2CC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rgb="FFDDEBF7"/>
      </patternFill>
    </fill>
    <fill>
      <patternFill patternType="solid">
        <fgColor theme="5" tint="-0.249977111117893"/>
        <bgColor rgb="FFDDEBF7"/>
      </patternFill>
    </fill>
    <fill>
      <patternFill patternType="solid">
        <fgColor rgb="FF0070C0"/>
        <bgColor rgb="FFFFF2CC"/>
      </patternFill>
    </fill>
    <fill>
      <patternFill patternType="solid">
        <fgColor theme="5" tint="-0.249977111117893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/>
      <top style="thin">
        <color rgb="FFAAAAAA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58" fillId="0" borderId="0" applyFont="0" applyFill="0" applyBorder="0" applyAlignment="0" applyProtection="0"/>
  </cellStyleXfs>
  <cellXfs count="245">
    <xf numFmtId="0" fontId="0" fillId="0" borderId="0" xfId="0"/>
    <xf numFmtId="0" fontId="9" fillId="13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center" vertical="center" wrapText="1"/>
    </xf>
    <xf numFmtId="3" fontId="13" fillId="16" borderId="2" xfId="0" applyNumberFormat="1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left" vertical="center" wrapText="1"/>
    </xf>
    <xf numFmtId="0" fontId="12" fillId="14" borderId="2" xfId="0" applyFont="1" applyFill="1" applyBorder="1" applyAlignment="1">
      <alignment horizontal="center" vertical="center" wrapText="1"/>
    </xf>
    <xf numFmtId="3" fontId="14" fillId="7" borderId="2" xfId="0" applyNumberFormat="1" applyFont="1" applyFill="1" applyBorder="1" applyAlignment="1">
      <alignment horizontal="center" vertical="center" wrapText="1"/>
    </xf>
    <xf numFmtId="2" fontId="14" fillId="7" borderId="2" xfId="0" applyNumberFormat="1" applyFont="1" applyFill="1" applyBorder="1" applyAlignment="1">
      <alignment horizontal="center" vertical="center" wrapText="1"/>
    </xf>
    <xf numFmtId="0" fontId="15" fillId="17" borderId="2" xfId="0" applyFont="1" applyFill="1" applyBorder="1" applyAlignment="1">
      <alignment horizontal="left" vertical="center" wrapText="1"/>
    </xf>
    <xf numFmtId="0" fontId="0" fillId="17" borderId="2" xfId="0" applyFill="1" applyBorder="1"/>
    <xf numFmtId="3" fontId="15" fillId="17" borderId="2" xfId="0" applyNumberFormat="1" applyFont="1" applyFill="1" applyBorder="1" applyAlignment="1">
      <alignment horizontal="center" vertical="center" wrapText="1"/>
    </xf>
    <xf numFmtId="164" fontId="14" fillId="7" borderId="2" xfId="0" applyNumberFormat="1" applyFont="1" applyFill="1" applyBorder="1" applyAlignment="1">
      <alignment horizontal="center" vertical="center" wrapText="1"/>
    </xf>
    <xf numFmtId="3" fontId="16" fillId="13" borderId="2" xfId="0" applyNumberFormat="1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left" vertical="center"/>
    </xf>
    <xf numFmtId="165" fontId="3" fillId="5" borderId="2" xfId="0" applyNumberFormat="1" applyFont="1" applyFill="1" applyBorder="1" applyAlignment="1">
      <alignment horizontal="left" vertical="center"/>
    </xf>
    <xf numFmtId="166" fontId="20" fillId="6" borderId="2" xfId="0" applyNumberFormat="1" applyFont="1" applyFill="1" applyBorder="1" applyAlignment="1">
      <alignment horizontal="left" vertical="center"/>
    </xf>
    <xf numFmtId="0" fontId="19" fillId="7" borderId="2" xfId="0" applyFont="1" applyFill="1" applyBorder="1" applyAlignment="1">
      <alignment horizontal="left" vertical="center"/>
    </xf>
    <xf numFmtId="0" fontId="22" fillId="2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left" vertical="center"/>
    </xf>
    <xf numFmtId="166" fontId="3" fillId="5" borderId="2" xfId="0" applyNumberFormat="1" applyFont="1" applyFill="1" applyBorder="1" applyAlignment="1">
      <alignment horizontal="left" vertical="center"/>
    </xf>
    <xf numFmtId="169" fontId="3" fillId="6" borderId="2" xfId="0" applyNumberFormat="1" applyFont="1" applyFill="1" applyBorder="1" applyAlignment="1">
      <alignment horizontal="left" vertical="center"/>
    </xf>
    <xf numFmtId="4" fontId="3" fillId="5" borderId="2" xfId="0" applyNumberFormat="1" applyFont="1" applyFill="1" applyBorder="1" applyAlignment="1">
      <alignment horizontal="left" vertical="center"/>
    </xf>
    <xf numFmtId="0" fontId="21" fillId="11" borderId="2" xfId="0" applyFont="1" applyFill="1" applyBorder="1" applyAlignment="1">
      <alignment horizontal="left" vertical="center"/>
    </xf>
    <xf numFmtId="0" fontId="24" fillId="11" borderId="2" xfId="0" applyFont="1" applyFill="1" applyBorder="1" applyAlignment="1">
      <alignment horizontal="left" vertical="center"/>
    </xf>
    <xf numFmtId="164" fontId="3" fillId="5" borderId="2" xfId="0" applyNumberFormat="1" applyFont="1" applyFill="1" applyBorder="1" applyAlignment="1">
      <alignment horizontal="left" vertical="center"/>
    </xf>
    <xf numFmtId="170" fontId="4" fillId="12" borderId="2" xfId="0" applyNumberFormat="1" applyFont="1" applyFill="1" applyBorder="1" applyAlignment="1">
      <alignment horizontal="left" vertical="center"/>
    </xf>
    <xf numFmtId="0" fontId="25" fillId="12" borderId="2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7" fillId="10" borderId="0" xfId="0" applyFont="1" applyFill="1" applyAlignment="1">
      <alignment horizontal="left" vertical="center"/>
    </xf>
    <xf numFmtId="166" fontId="3" fillId="5" borderId="0" xfId="0" applyNumberFormat="1" applyFont="1" applyFill="1" applyAlignment="1">
      <alignment horizontal="left" vertical="center"/>
    </xf>
    <xf numFmtId="169" fontId="3" fillId="6" borderId="0" xfId="0" applyNumberFormat="1" applyFont="1" applyFill="1" applyAlignment="1">
      <alignment horizontal="left" vertical="center"/>
    </xf>
    <xf numFmtId="0" fontId="21" fillId="9" borderId="0" xfId="0" applyFont="1" applyFill="1" applyAlignment="1">
      <alignment horizontal="center" vertical="center"/>
    </xf>
    <xf numFmtId="171" fontId="3" fillId="5" borderId="2" xfId="0" applyNumberFormat="1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left" vertical="center"/>
    </xf>
    <xf numFmtId="166" fontId="21" fillId="4" borderId="2" xfId="0" applyNumberFormat="1" applyFont="1" applyFill="1" applyBorder="1" applyAlignment="1">
      <alignment horizontal="left" vertical="center"/>
    </xf>
    <xf numFmtId="169" fontId="21" fillId="4" borderId="2" xfId="0" applyNumberFormat="1" applyFont="1" applyFill="1" applyBorder="1" applyAlignment="1">
      <alignment horizontal="left" vertical="center"/>
    </xf>
    <xf numFmtId="171" fontId="21" fillId="4" borderId="2" xfId="0" applyNumberFormat="1" applyFont="1" applyFill="1" applyBorder="1" applyAlignment="1">
      <alignment horizontal="left" vertical="center"/>
    </xf>
    <xf numFmtId="166" fontId="21" fillId="11" borderId="2" xfId="0" applyNumberFormat="1" applyFont="1" applyFill="1" applyBorder="1" applyAlignment="1">
      <alignment horizontal="left" vertical="center"/>
    </xf>
    <xf numFmtId="169" fontId="21" fillId="11" borderId="2" xfId="0" applyNumberFormat="1" applyFont="1" applyFill="1" applyBorder="1" applyAlignment="1">
      <alignment horizontal="left" vertical="center"/>
    </xf>
    <xf numFmtId="171" fontId="21" fillId="11" borderId="2" xfId="0" applyNumberFormat="1" applyFont="1" applyFill="1" applyBorder="1" applyAlignment="1">
      <alignment horizontal="left" vertical="center"/>
    </xf>
    <xf numFmtId="0" fontId="10" fillId="13" borderId="2" xfId="0" applyFont="1" applyFill="1" applyBorder="1" applyAlignment="1">
      <alignment horizontal="center" vertical="center" wrapText="1"/>
    </xf>
    <xf numFmtId="0" fontId="27" fillId="24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171" fontId="21" fillId="6" borderId="2" xfId="0" applyNumberFormat="1" applyFont="1" applyFill="1" applyBorder="1" applyAlignment="1">
      <alignment horizontal="center" vertical="center"/>
    </xf>
    <xf numFmtId="0" fontId="28" fillId="11" borderId="2" xfId="0" applyFont="1" applyFill="1" applyBorder="1" applyAlignment="1">
      <alignment horizontal="center" vertical="center"/>
    </xf>
    <xf numFmtId="0" fontId="29" fillId="11" borderId="2" xfId="0" applyFont="1" applyFill="1" applyBorder="1" applyAlignment="1">
      <alignment horizontal="left" vertical="center"/>
    </xf>
    <xf numFmtId="171" fontId="5" fillId="3" borderId="2" xfId="0" applyNumberFormat="1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172" fontId="32" fillId="7" borderId="2" xfId="0" applyNumberFormat="1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horizontal="left" vertical="center"/>
    </xf>
    <xf numFmtId="0" fontId="22" fillId="21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/>
    </xf>
    <xf numFmtId="0" fontId="35" fillId="10" borderId="2" xfId="0" applyFont="1" applyFill="1" applyBorder="1" applyAlignment="1">
      <alignment horizontal="center" vertical="center"/>
    </xf>
    <xf numFmtId="3" fontId="20" fillId="23" borderId="2" xfId="0" applyNumberFormat="1" applyFont="1" applyFill="1" applyBorder="1" applyAlignment="1">
      <alignment horizontal="left" vertical="center"/>
    </xf>
    <xf numFmtId="0" fontId="19" fillId="6" borderId="2" xfId="0" applyFont="1" applyFill="1" applyBorder="1" applyAlignment="1">
      <alignment horizontal="left" vertical="center"/>
    </xf>
    <xf numFmtId="0" fontId="35" fillId="6" borderId="2" xfId="0" applyFont="1" applyFill="1" applyBorder="1" applyAlignment="1">
      <alignment horizontal="center" vertical="center"/>
    </xf>
    <xf numFmtId="173" fontId="20" fillId="6" borderId="2" xfId="0" applyNumberFormat="1" applyFont="1" applyFill="1" applyBorder="1" applyAlignment="1">
      <alignment horizontal="left" vertical="center"/>
    </xf>
    <xf numFmtId="10" fontId="20" fillId="23" borderId="2" xfId="0" applyNumberFormat="1" applyFont="1" applyFill="1" applyBorder="1" applyAlignment="1">
      <alignment horizontal="left" vertical="center"/>
    </xf>
    <xf numFmtId="166" fontId="20" fillId="23" borderId="2" xfId="0" applyNumberFormat="1" applyFont="1" applyFill="1" applyBorder="1" applyAlignment="1">
      <alignment horizontal="left" vertical="center"/>
    </xf>
    <xf numFmtId="0" fontId="36" fillId="6" borderId="2" xfId="0" applyFont="1" applyFill="1" applyBorder="1" applyAlignment="1">
      <alignment horizontal="left" vertical="center"/>
    </xf>
    <xf numFmtId="4" fontId="20" fillId="23" borderId="2" xfId="0" applyNumberFormat="1" applyFont="1" applyFill="1" applyBorder="1" applyAlignment="1">
      <alignment horizontal="left" vertical="center"/>
    </xf>
    <xf numFmtId="0" fontId="35" fillId="7" borderId="2" xfId="0" applyFont="1" applyFill="1" applyBorder="1" applyAlignment="1">
      <alignment horizontal="center" vertical="center"/>
    </xf>
    <xf numFmtId="166" fontId="37" fillId="7" borderId="2" xfId="0" applyNumberFormat="1" applyFont="1" applyFill="1" applyBorder="1" applyAlignment="1">
      <alignment horizontal="left" vertical="center"/>
    </xf>
    <xf numFmtId="166" fontId="37" fillId="6" borderId="2" xfId="0" applyNumberFormat="1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left" vertical="center"/>
    </xf>
    <xf numFmtId="0" fontId="38" fillId="2" borderId="2" xfId="0" applyFont="1" applyFill="1" applyBorder="1" applyAlignment="1">
      <alignment horizontal="center" vertical="center"/>
    </xf>
    <xf numFmtId="170" fontId="23" fillId="2" borderId="2" xfId="0" applyNumberFormat="1" applyFont="1" applyFill="1" applyBorder="1" applyAlignment="1">
      <alignment horizontal="left" vertical="center"/>
    </xf>
    <xf numFmtId="0" fontId="19" fillId="21" borderId="2" xfId="0" applyFont="1" applyFill="1" applyBorder="1" applyAlignment="1">
      <alignment horizontal="left" vertical="center"/>
    </xf>
    <xf numFmtId="0" fontId="38" fillId="21" borderId="2" xfId="0" applyFont="1" applyFill="1" applyBorder="1" applyAlignment="1">
      <alignment horizontal="center" vertical="center"/>
    </xf>
    <xf numFmtId="170" fontId="23" fillId="21" borderId="2" xfId="0" applyNumberFormat="1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38" fillId="3" borderId="2" xfId="0" applyFont="1" applyFill="1" applyBorder="1" applyAlignment="1">
      <alignment horizontal="center" vertical="center"/>
    </xf>
    <xf numFmtId="170" fontId="23" fillId="3" borderId="2" xfId="0" applyNumberFormat="1" applyFont="1" applyFill="1" applyBorder="1" applyAlignment="1">
      <alignment horizontal="left" vertical="center"/>
    </xf>
    <xf numFmtId="170" fontId="20" fillId="6" borderId="2" xfId="0" applyNumberFormat="1" applyFont="1" applyFill="1" applyBorder="1" applyAlignment="1">
      <alignment horizontal="left" vertical="center"/>
    </xf>
    <xf numFmtId="4" fontId="20" fillId="6" borderId="2" xfId="0" applyNumberFormat="1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left" vertical="center"/>
    </xf>
    <xf numFmtId="0" fontId="35" fillId="12" borderId="2" xfId="0" applyFont="1" applyFill="1" applyBorder="1" applyAlignment="1">
      <alignment horizontal="center" vertical="center"/>
    </xf>
    <xf numFmtId="170" fontId="20" fillId="12" borderId="2" xfId="0" applyNumberFormat="1" applyFont="1" applyFill="1" applyBorder="1" applyAlignment="1">
      <alignment horizontal="left" vertical="center"/>
    </xf>
    <xf numFmtId="0" fontId="41" fillId="4" borderId="2" xfId="0" applyFont="1" applyFill="1" applyBorder="1" applyAlignment="1">
      <alignment horizontal="left" vertical="center"/>
    </xf>
    <xf numFmtId="3" fontId="41" fillId="4" borderId="2" xfId="0" applyNumberFormat="1" applyFont="1" applyFill="1" applyBorder="1" applyAlignment="1">
      <alignment horizontal="center" vertical="center"/>
    </xf>
    <xf numFmtId="166" fontId="41" fillId="4" borderId="2" xfId="0" applyNumberFormat="1" applyFont="1" applyFill="1" applyBorder="1" applyAlignment="1">
      <alignment horizontal="center" vertical="center"/>
    </xf>
    <xf numFmtId="174" fontId="41" fillId="4" borderId="2" xfId="0" applyNumberFormat="1" applyFont="1" applyFill="1" applyBorder="1" applyAlignment="1">
      <alignment horizontal="center" vertical="center"/>
    </xf>
    <xf numFmtId="167" fontId="41" fillId="4" borderId="2" xfId="0" applyNumberFormat="1" applyFont="1" applyFill="1" applyBorder="1" applyAlignment="1">
      <alignment horizontal="center" vertical="center"/>
    </xf>
    <xf numFmtId="0" fontId="41" fillId="11" borderId="2" xfId="0" applyFont="1" applyFill="1" applyBorder="1" applyAlignment="1">
      <alignment horizontal="left" vertical="center"/>
    </xf>
    <xf numFmtId="3" fontId="41" fillId="11" borderId="2" xfId="0" applyNumberFormat="1" applyFont="1" applyFill="1" applyBorder="1" applyAlignment="1">
      <alignment horizontal="center" vertical="center"/>
    </xf>
    <xf numFmtId="166" fontId="41" fillId="11" borderId="2" xfId="0" applyNumberFormat="1" applyFont="1" applyFill="1" applyBorder="1" applyAlignment="1">
      <alignment horizontal="center" vertical="center"/>
    </xf>
    <xf numFmtId="174" fontId="41" fillId="11" borderId="2" xfId="0" applyNumberFormat="1" applyFont="1" applyFill="1" applyBorder="1" applyAlignment="1">
      <alignment horizontal="center" vertical="center"/>
    </xf>
    <xf numFmtId="167" fontId="41" fillId="11" borderId="2" xfId="0" applyNumberFormat="1" applyFont="1" applyFill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/>
    </xf>
    <xf numFmtId="0" fontId="41" fillId="11" borderId="2" xfId="0" applyFont="1" applyFill="1" applyBorder="1" applyAlignment="1">
      <alignment horizontal="center" vertical="center"/>
    </xf>
    <xf numFmtId="168" fontId="41" fillId="4" borderId="2" xfId="0" applyNumberFormat="1" applyFont="1" applyFill="1" applyBorder="1" applyAlignment="1">
      <alignment horizontal="center" vertical="center"/>
    </xf>
    <xf numFmtId="168" fontId="41" fillId="11" borderId="2" xfId="0" applyNumberFormat="1" applyFont="1" applyFill="1" applyBorder="1" applyAlignment="1">
      <alignment horizontal="center" vertical="center"/>
    </xf>
    <xf numFmtId="175" fontId="47" fillId="28" borderId="9" xfId="0" applyNumberFormat="1" applyFont="1" applyFill="1" applyBorder="1" applyAlignment="1">
      <alignment horizontal="center" vertical="center"/>
    </xf>
    <xf numFmtId="0" fontId="21" fillId="11" borderId="0" xfId="0" applyFont="1" applyFill="1" applyAlignment="1">
      <alignment horizontal="left" vertical="center"/>
    </xf>
    <xf numFmtId="175" fontId="50" fillId="5" borderId="0" xfId="0" applyNumberFormat="1" applyFont="1" applyFill="1" applyAlignment="1">
      <alignment horizontal="center" vertical="center"/>
    </xf>
    <xf numFmtId="1" fontId="14" fillId="7" borderId="2" xfId="0" applyNumberFormat="1" applyFont="1" applyFill="1" applyBorder="1" applyAlignment="1">
      <alignment horizontal="center" vertical="center" wrapText="1"/>
    </xf>
    <xf numFmtId="176" fontId="12" fillId="19" borderId="2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26" fillId="13" borderId="0" xfId="0" applyFont="1" applyFill="1" applyAlignment="1">
      <alignment vertical="center" wrapText="1"/>
    </xf>
    <xf numFmtId="0" fontId="8" fillId="14" borderId="0" xfId="0" applyFont="1" applyFill="1" applyAlignment="1">
      <alignment vertical="center" wrapText="1"/>
    </xf>
    <xf numFmtId="0" fontId="53" fillId="28" borderId="9" xfId="0" applyFont="1" applyFill="1" applyBorder="1" applyAlignment="1">
      <alignment horizontal="left" vertical="center"/>
    </xf>
    <xf numFmtId="175" fontId="54" fillId="5" borderId="0" xfId="0" applyNumberFormat="1" applyFont="1" applyFill="1" applyAlignment="1">
      <alignment horizontal="left" vertical="center"/>
    </xf>
    <xf numFmtId="0" fontId="0" fillId="37" borderId="0" xfId="0" applyFill="1"/>
    <xf numFmtId="0" fontId="42" fillId="28" borderId="13" xfId="0" applyFont="1" applyFill="1" applyBorder="1" applyAlignment="1">
      <alignment horizontal="left" vertical="center"/>
    </xf>
    <xf numFmtId="0" fontId="46" fillId="28" borderId="13" xfId="0" applyFont="1" applyFill="1" applyBorder="1" applyAlignment="1">
      <alignment horizontal="left" vertical="center"/>
    </xf>
    <xf numFmtId="3" fontId="49" fillId="33" borderId="14" xfId="0" applyNumberFormat="1" applyFont="1" applyFill="1" applyBorder="1" applyAlignment="1">
      <alignment horizontal="center" vertical="center" wrapText="1"/>
    </xf>
    <xf numFmtId="175" fontId="45" fillId="32" borderId="13" xfId="0" applyNumberFormat="1" applyFont="1" applyFill="1" applyBorder="1" applyAlignment="1">
      <alignment horizontal="left" vertical="center"/>
    </xf>
    <xf numFmtId="175" fontId="45" fillId="32" borderId="13" xfId="0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horizontal="center" vertical="center" wrapText="1"/>
    </xf>
    <xf numFmtId="3" fontId="14" fillId="7" borderId="0" xfId="0" applyNumberFormat="1" applyFont="1" applyFill="1" applyAlignment="1">
      <alignment horizontal="center" vertical="center" wrapText="1"/>
    </xf>
    <xf numFmtId="175" fontId="45" fillId="31" borderId="13" xfId="0" applyNumberFormat="1" applyFont="1" applyFill="1" applyBorder="1" applyAlignment="1">
      <alignment horizontal="left" vertical="center"/>
    </xf>
    <xf numFmtId="175" fontId="45" fillId="31" borderId="13" xfId="0" applyNumberFormat="1" applyFont="1" applyFill="1" applyBorder="1" applyAlignment="1">
      <alignment horizontal="center" vertical="center"/>
    </xf>
    <xf numFmtId="0" fontId="11" fillId="19" borderId="0" xfId="0" applyFont="1" applyFill="1" applyAlignment="1">
      <alignment horizontal="left" vertical="center" wrapText="1"/>
    </xf>
    <xf numFmtId="0" fontId="12" fillId="19" borderId="0" xfId="0" applyFont="1" applyFill="1" applyAlignment="1">
      <alignment horizontal="center" vertical="center" wrapText="1"/>
    </xf>
    <xf numFmtId="175" fontId="44" fillId="30" borderId="0" xfId="0" applyNumberFormat="1" applyFont="1" applyFill="1" applyAlignment="1">
      <alignment horizontal="center" vertical="center"/>
    </xf>
    <xf numFmtId="175" fontId="52" fillId="34" borderId="13" xfId="0" applyNumberFormat="1" applyFont="1" applyFill="1" applyBorder="1" applyAlignment="1">
      <alignment horizontal="left" vertical="center"/>
    </xf>
    <xf numFmtId="175" fontId="52" fillId="34" borderId="13" xfId="0" applyNumberFormat="1" applyFont="1" applyFill="1" applyBorder="1" applyAlignment="1">
      <alignment horizontal="center" vertical="center"/>
    </xf>
    <xf numFmtId="0" fontId="11" fillId="36" borderId="0" xfId="0" applyFont="1" applyFill="1" applyAlignment="1">
      <alignment horizontal="left" vertical="center" wrapText="1"/>
    </xf>
    <xf numFmtId="0" fontId="12" fillId="36" borderId="0" xfId="0" applyFont="1" applyFill="1" applyAlignment="1">
      <alignment horizontal="center" vertical="center" wrapText="1"/>
    </xf>
    <xf numFmtId="1" fontId="51" fillId="36" borderId="0" xfId="0" applyNumberFormat="1" applyFont="1" applyFill="1" applyAlignment="1">
      <alignment horizontal="center" vertical="center"/>
    </xf>
    <xf numFmtId="1" fontId="50" fillId="36" borderId="0" xfId="0" applyNumberFormat="1" applyFont="1" applyFill="1" applyAlignment="1">
      <alignment horizontal="center" vertical="center"/>
    </xf>
    <xf numFmtId="175" fontId="54" fillId="29" borderId="0" xfId="0" applyNumberFormat="1" applyFont="1" applyFill="1" applyAlignment="1">
      <alignment horizontal="left" vertical="center"/>
    </xf>
    <xf numFmtId="175" fontId="54" fillId="29" borderId="0" xfId="0" applyNumberFormat="1" applyFont="1" applyFill="1" applyAlignment="1">
      <alignment horizontal="center" vertical="center"/>
    </xf>
    <xf numFmtId="0" fontId="55" fillId="29" borderId="9" xfId="0" applyFont="1" applyFill="1" applyBorder="1" applyAlignment="1">
      <alignment horizontal="left" vertical="center"/>
    </xf>
    <xf numFmtId="175" fontId="54" fillId="29" borderId="9" xfId="0" applyNumberFormat="1" applyFont="1" applyFill="1" applyBorder="1" applyAlignment="1">
      <alignment horizontal="center" vertical="center"/>
    </xf>
    <xf numFmtId="0" fontId="55" fillId="30" borderId="9" xfId="0" applyFont="1" applyFill="1" applyBorder="1" applyAlignment="1">
      <alignment horizontal="left" vertical="center"/>
    </xf>
    <xf numFmtId="175" fontId="54" fillId="30" borderId="9" xfId="0" applyNumberFormat="1" applyFont="1" applyFill="1" applyBorder="1" applyAlignment="1">
      <alignment horizontal="center" vertical="center"/>
    </xf>
    <xf numFmtId="0" fontId="55" fillId="27" borderId="9" xfId="0" applyFont="1" applyFill="1" applyBorder="1" applyAlignment="1">
      <alignment horizontal="left" vertical="center"/>
    </xf>
    <xf numFmtId="175" fontId="54" fillId="27" borderId="9" xfId="0" applyNumberFormat="1" applyFont="1" applyFill="1" applyBorder="1" applyAlignment="1">
      <alignment horizontal="center" vertical="center"/>
    </xf>
    <xf numFmtId="0" fontId="55" fillId="20" borderId="9" xfId="0" applyFont="1" applyFill="1" applyBorder="1" applyAlignment="1">
      <alignment horizontal="left" vertical="center"/>
    </xf>
    <xf numFmtId="175" fontId="54" fillId="20" borderId="9" xfId="0" applyNumberFormat="1" applyFont="1" applyFill="1" applyBorder="1" applyAlignment="1">
      <alignment horizontal="center" vertical="center"/>
    </xf>
    <xf numFmtId="0" fontId="55" fillId="5" borderId="9" xfId="0" applyFont="1" applyFill="1" applyBorder="1" applyAlignment="1">
      <alignment horizontal="left" vertical="center"/>
    </xf>
    <xf numFmtId="175" fontId="54" fillId="5" borderId="9" xfId="0" applyNumberFormat="1" applyFont="1" applyFill="1" applyBorder="1" applyAlignment="1">
      <alignment horizontal="center" vertical="center"/>
    </xf>
    <xf numFmtId="0" fontId="56" fillId="14" borderId="2" xfId="0" applyFont="1" applyFill="1" applyBorder="1" applyAlignment="1">
      <alignment horizontal="left" vertical="center" wrapText="1"/>
    </xf>
    <xf numFmtId="0" fontId="11" fillId="10" borderId="17" xfId="0" applyFont="1" applyFill="1" applyBorder="1" applyAlignment="1">
      <alignment horizontal="left" vertical="center" wrapText="1"/>
    </xf>
    <xf numFmtId="0" fontId="11" fillId="10" borderId="18" xfId="0" applyFont="1" applyFill="1" applyBorder="1" applyAlignment="1">
      <alignment horizontal="left" vertical="center" wrapText="1"/>
    </xf>
    <xf numFmtId="0" fontId="0" fillId="38" borderId="19" xfId="0" applyFill="1" applyBorder="1"/>
    <xf numFmtId="0" fontId="0" fillId="38" borderId="19" xfId="0" applyFill="1" applyBorder="1" applyAlignment="1">
      <alignment horizontal="center"/>
    </xf>
    <xf numFmtId="1" fontId="0" fillId="38" borderId="19" xfId="0" applyNumberFormat="1" applyFill="1" applyBorder="1" applyAlignment="1">
      <alignment horizontal="center"/>
    </xf>
    <xf numFmtId="3" fontId="57" fillId="39" borderId="2" xfId="0" applyNumberFormat="1" applyFont="1" applyFill="1" applyBorder="1" applyAlignment="1">
      <alignment horizontal="center" vertical="center" wrapText="1"/>
    </xf>
    <xf numFmtId="3" fontId="57" fillId="39" borderId="2" xfId="0" applyNumberFormat="1" applyFont="1" applyFill="1" applyBorder="1" applyAlignment="1">
      <alignment horizontal="left" vertical="center" wrapText="1"/>
    </xf>
    <xf numFmtId="177" fontId="0" fillId="0" borderId="0" xfId="2" applyNumberFormat="1" applyFont="1"/>
    <xf numFmtId="0" fontId="60" fillId="40" borderId="0" xfId="0" applyFont="1" applyFill="1" applyAlignment="1">
      <alignment horizontal="right"/>
    </xf>
    <xf numFmtId="0" fontId="62" fillId="42" borderId="0" xfId="0" applyFont="1" applyFill="1" applyAlignment="1">
      <alignment vertical="center" wrapText="1"/>
    </xf>
    <xf numFmtId="0" fontId="62" fillId="43" borderId="7" xfId="0" applyFont="1" applyFill="1" applyBorder="1" applyAlignment="1">
      <alignment vertical="center" wrapText="1"/>
    </xf>
    <xf numFmtId="14" fontId="60" fillId="41" borderId="0" xfId="0" applyNumberFormat="1" applyFont="1" applyFill="1"/>
    <xf numFmtId="0" fontId="62" fillId="43" borderId="5" xfId="0" applyFont="1" applyFill="1" applyBorder="1" applyAlignment="1">
      <alignment vertical="center" wrapText="1"/>
    </xf>
    <xf numFmtId="0" fontId="60" fillId="40" borderId="0" xfId="0" applyFont="1" applyFill="1" applyAlignment="1">
      <alignment vertical="center"/>
    </xf>
    <xf numFmtId="0" fontId="9" fillId="13" borderId="14" xfId="0" applyFont="1" applyFill="1" applyBorder="1" applyAlignment="1">
      <alignment horizontal="center" vertical="center" wrapText="1"/>
    </xf>
    <xf numFmtId="0" fontId="10" fillId="15" borderId="14" xfId="0" applyFont="1" applyFill="1" applyBorder="1" applyAlignment="1">
      <alignment horizontal="center" vertical="center" wrapText="1"/>
    </xf>
    <xf numFmtId="3" fontId="63" fillId="44" borderId="2" xfId="0" applyNumberFormat="1" applyFont="1" applyFill="1" applyBorder="1" applyAlignment="1">
      <alignment horizontal="center" vertical="center" wrapText="1"/>
    </xf>
    <xf numFmtId="3" fontId="49" fillId="45" borderId="2" xfId="0" applyNumberFormat="1" applyFont="1" applyFill="1" applyBorder="1" applyAlignment="1">
      <alignment horizontal="center" vertical="center" wrapText="1"/>
    </xf>
    <xf numFmtId="3" fontId="43" fillId="26" borderId="9" xfId="0" applyNumberFormat="1" applyFont="1" applyFill="1" applyBorder="1" applyAlignment="1">
      <alignment horizontal="center" vertical="center"/>
    </xf>
    <xf numFmtId="3" fontId="65" fillId="16" borderId="2" xfId="0" applyNumberFormat="1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left" vertical="top" wrapText="1"/>
    </xf>
    <xf numFmtId="0" fontId="12" fillId="10" borderId="2" xfId="0" applyFont="1" applyFill="1" applyBorder="1" applyAlignment="1">
      <alignment horizontal="center" vertical="top" wrapText="1"/>
    </xf>
    <xf numFmtId="3" fontId="63" fillId="44" borderId="2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9" fillId="13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9" fillId="13" borderId="14" xfId="0" applyFont="1" applyFill="1" applyBorder="1" applyAlignment="1">
      <alignment vertical="center" wrapText="1"/>
    </xf>
    <xf numFmtId="0" fontId="9" fillId="35" borderId="16" xfId="0" applyFont="1" applyFill="1" applyBorder="1" applyAlignment="1">
      <alignment vertical="center" wrapText="1"/>
    </xf>
    <xf numFmtId="0" fontId="48" fillId="32" borderId="15" xfId="0" applyFont="1" applyFill="1" applyBorder="1" applyAlignment="1">
      <alignment vertical="center"/>
    </xf>
    <xf numFmtId="0" fontId="42" fillId="28" borderId="10" xfId="0" applyFont="1" applyFill="1" applyBorder="1" applyAlignment="1">
      <alignment vertical="center"/>
    </xf>
    <xf numFmtId="0" fontId="42" fillId="28" borderId="11" xfId="0" applyFont="1" applyFill="1" applyBorder="1" applyAlignment="1">
      <alignment vertical="center"/>
    </xf>
    <xf numFmtId="0" fontId="42" fillId="28" borderId="12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 wrapText="1"/>
    </xf>
    <xf numFmtId="0" fontId="55" fillId="0" borderId="0" xfId="0" applyFont="1"/>
    <xf numFmtId="0" fontId="55" fillId="0" borderId="7" xfId="0" applyFont="1" applyBorder="1" applyAlignment="1">
      <alignment wrapText="1"/>
    </xf>
    <xf numFmtId="0" fontId="55" fillId="0" borderId="8" xfId="0" applyFont="1" applyBorder="1" applyAlignment="1">
      <alignment wrapText="1"/>
    </xf>
    <xf numFmtId="0" fontId="55" fillId="0" borderId="0" xfId="0" applyFont="1" applyAlignment="1">
      <alignment wrapText="1"/>
    </xf>
    <xf numFmtId="0" fontId="66" fillId="0" borderId="0" xfId="0" applyFont="1"/>
    <xf numFmtId="0" fontId="59" fillId="46" borderId="0" xfId="0" applyFont="1" applyFill="1"/>
    <xf numFmtId="0" fontId="0" fillId="46" borderId="0" xfId="0" applyFill="1"/>
    <xf numFmtId="0" fontId="59" fillId="46" borderId="25" xfId="0" applyFont="1" applyFill="1" applyBorder="1" applyAlignment="1">
      <alignment horizontal="center" vertical="center"/>
    </xf>
    <xf numFmtId="0" fontId="0" fillId="46" borderId="25" xfId="0" applyFill="1" applyBorder="1"/>
    <xf numFmtId="0" fontId="59" fillId="46" borderId="25" xfId="0" quotePrefix="1" applyFont="1" applyFill="1" applyBorder="1" applyAlignment="1">
      <alignment horizontal="center" vertical="center"/>
    </xf>
    <xf numFmtId="0" fontId="0" fillId="46" borderId="27" xfId="0" applyFill="1" applyBorder="1"/>
    <xf numFmtId="0" fontId="0" fillId="47" borderId="0" xfId="0" applyFill="1"/>
    <xf numFmtId="0" fontId="66" fillId="47" borderId="0" xfId="0" applyFont="1" applyFill="1" applyAlignment="1">
      <alignment horizontal="center"/>
    </xf>
    <xf numFmtId="0" fontId="55" fillId="47" borderId="5" xfId="0" applyFont="1" applyFill="1" applyBorder="1" applyAlignment="1">
      <alignment wrapText="1"/>
    </xf>
    <xf numFmtId="0" fontId="55" fillId="47" borderId="6" xfId="0" applyFont="1" applyFill="1" applyBorder="1" applyAlignment="1">
      <alignment wrapText="1"/>
    </xf>
    <xf numFmtId="0" fontId="55" fillId="47" borderId="22" xfId="0" applyFont="1" applyFill="1" applyBorder="1" applyAlignment="1">
      <alignment wrapText="1"/>
    </xf>
    <xf numFmtId="0" fontId="55" fillId="47" borderId="4" xfId="0" applyFont="1" applyFill="1" applyBorder="1"/>
    <xf numFmtId="0" fontId="55" fillId="47" borderId="8" xfId="0" applyFont="1" applyFill="1" applyBorder="1" applyAlignment="1">
      <alignment vertical="center" wrapText="1"/>
    </xf>
    <xf numFmtId="0" fontId="55" fillId="47" borderId="7" xfId="0" applyFont="1" applyFill="1" applyBorder="1" applyAlignment="1">
      <alignment wrapText="1"/>
    </xf>
    <xf numFmtId="0" fontId="55" fillId="47" borderId="8" xfId="0" applyFont="1" applyFill="1" applyBorder="1" applyAlignment="1">
      <alignment wrapText="1"/>
    </xf>
    <xf numFmtId="0" fontId="55" fillId="47" borderId="3" xfId="0" applyFont="1" applyFill="1" applyBorder="1" applyAlignment="1">
      <alignment wrapText="1"/>
    </xf>
    <xf numFmtId="0" fontId="55" fillId="47" borderId="0" xfId="0" applyFont="1" applyFill="1" applyAlignment="1">
      <alignment horizontal="center" wrapText="1"/>
    </xf>
    <xf numFmtId="0" fontId="67" fillId="0" borderId="0" xfId="0" applyFont="1"/>
    <xf numFmtId="0" fontId="68" fillId="46" borderId="25" xfId="0" applyFont="1" applyFill="1" applyBorder="1" applyAlignment="1">
      <alignment wrapText="1"/>
    </xf>
    <xf numFmtId="0" fontId="68" fillId="46" borderId="26" xfId="0" applyFont="1" applyFill="1" applyBorder="1" applyAlignment="1">
      <alignment wrapText="1"/>
    </xf>
    <xf numFmtId="0" fontId="68" fillId="46" borderId="25" xfId="0" applyFont="1" applyFill="1" applyBorder="1" applyAlignment="1">
      <alignment horizontal="center" wrapText="1"/>
    </xf>
    <xf numFmtId="0" fontId="0" fillId="48" borderId="25" xfId="0" quotePrefix="1" applyFill="1" applyBorder="1" applyAlignment="1">
      <alignment horizontal="left"/>
    </xf>
    <xf numFmtId="0" fontId="0" fillId="48" borderId="25" xfId="0" applyFill="1" applyBorder="1"/>
    <xf numFmtId="0" fontId="0" fillId="46" borderId="25" xfId="0" applyFill="1" applyBorder="1" applyAlignment="1">
      <alignment vertical="center"/>
    </xf>
    <xf numFmtId="0" fontId="67" fillId="0" borderId="0" xfId="0" applyFont="1" applyAlignment="1">
      <alignment horizontal="center" vertical="center"/>
    </xf>
    <xf numFmtId="177" fontId="66" fillId="0" borderId="0" xfId="2" applyNumberFormat="1" applyFont="1"/>
    <xf numFmtId="0" fontId="0" fillId="0" borderId="0" xfId="0" applyAlignment="1">
      <alignment wrapText="1"/>
    </xf>
    <xf numFmtId="178" fontId="66" fillId="0" borderId="0" xfId="2" applyNumberFormat="1" applyFont="1"/>
    <xf numFmtId="177" fontId="0" fillId="0" borderId="0" xfId="0" applyNumberFormat="1"/>
    <xf numFmtId="3" fontId="41" fillId="4" borderId="18" xfId="0" applyNumberFormat="1" applyFont="1" applyFill="1" applyBorder="1" applyAlignment="1">
      <alignment horizontal="center" vertical="center"/>
    </xf>
    <xf numFmtId="166" fontId="41" fillId="4" borderId="18" xfId="0" applyNumberFormat="1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9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69" fillId="0" borderId="0" xfId="0" applyFont="1" applyAlignment="1">
      <alignment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16" fillId="13" borderId="23" xfId="0" applyFont="1" applyFill="1" applyBorder="1" applyAlignment="1">
      <alignment horizontal="left" vertical="center" wrapText="1"/>
    </xf>
    <xf numFmtId="0" fontId="16" fillId="13" borderId="24" xfId="0" applyFont="1" applyFill="1" applyBorder="1" applyAlignment="1">
      <alignment horizontal="left" vertical="center" wrapText="1"/>
    </xf>
    <xf numFmtId="0" fontId="7" fillId="13" borderId="0" xfId="0" applyFont="1" applyFill="1" applyAlignment="1">
      <alignment horizontal="center" vertical="center" wrapText="1"/>
    </xf>
    <xf numFmtId="0" fontId="9" fillId="13" borderId="2" xfId="0" applyFont="1" applyFill="1" applyBorder="1" applyAlignment="1">
      <alignment horizontal="left" vertical="center" wrapText="1"/>
    </xf>
    <xf numFmtId="0" fontId="61" fillId="40" borderId="0" xfId="0" applyFont="1" applyFill="1" applyAlignment="1">
      <alignment horizontal="center"/>
    </xf>
    <xf numFmtId="0" fontId="60" fillId="41" borderId="20" xfId="0" applyFont="1" applyFill="1" applyBorder="1" applyAlignment="1">
      <alignment horizontal="center" vertical="center"/>
    </xf>
    <xf numFmtId="0" fontId="60" fillId="41" borderId="3" xfId="0" applyFont="1" applyFill="1" applyBorder="1" applyAlignment="1">
      <alignment horizontal="center" vertical="center"/>
    </xf>
    <xf numFmtId="0" fontId="60" fillId="41" borderId="8" xfId="0" applyFont="1" applyFill="1" applyBorder="1" applyAlignment="1">
      <alignment horizontal="center" vertical="center"/>
    </xf>
    <xf numFmtId="0" fontId="62" fillId="43" borderId="20" xfId="0" applyFont="1" applyFill="1" applyBorder="1" applyAlignment="1">
      <alignment horizontal="center" vertical="center" wrapText="1"/>
    </xf>
    <xf numFmtId="0" fontId="62" fillId="43" borderId="8" xfId="0" applyFont="1" applyFill="1" applyBorder="1" applyAlignment="1">
      <alignment horizontal="center" vertical="center" wrapText="1"/>
    </xf>
    <xf numFmtId="0" fontId="60" fillId="41" borderId="21" xfId="0" applyFont="1" applyFill="1" applyBorder="1" applyAlignment="1">
      <alignment horizontal="center" vertical="center"/>
    </xf>
    <xf numFmtId="0" fontId="60" fillId="41" borderId="22" xfId="0" applyFont="1" applyFill="1" applyBorder="1" applyAlignment="1">
      <alignment horizontal="center" vertical="center"/>
    </xf>
    <xf numFmtId="0" fontId="60" fillId="41" borderId="6" xfId="0" applyFont="1" applyFill="1" applyBorder="1" applyAlignment="1">
      <alignment horizontal="center" vertical="center"/>
    </xf>
    <xf numFmtId="0" fontId="62" fillId="43" borderId="21" xfId="0" applyFont="1" applyFill="1" applyBorder="1" applyAlignment="1">
      <alignment horizontal="center" vertical="center" wrapText="1"/>
    </xf>
    <xf numFmtId="0" fontId="62" fillId="43" borderId="6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23" xfId="0" applyFont="1" applyFill="1" applyBorder="1" applyAlignment="1">
      <alignment horizontal="center" vertical="center" wrapText="1"/>
    </xf>
    <xf numFmtId="0" fontId="10" fillId="15" borderId="24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/>
    </xf>
    <xf numFmtId="0" fontId="3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1" fillId="7" borderId="1" xfId="0" applyFont="1" applyFill="1" applyBorder="1" applyAlignment="1">
      <alignment horizontal="left" vertical="center"/>
    </xf>
    <xf numFmtId="0" fontId="3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2" fillId="21" borderId="1" xfId="0" applyFont="1" applyFill="1" applyBorder="1" applyAlignment="1">
      <alignment horizontal="left" vertical="center"/>
    </xf>
    <xf numFmtId="0" fontId="18" fillId="22" borderId="1" xfId="0" applyFont="1" applyFill="1" applyBorder="1" applyAlignment="1">
      <alignment horizontal="left" vertical="center"/>
    </xf>
    <xf numFmtId="0" fontId="39" fillId="25" borderId="1" xfId="0" applyFont="1" applyFill="1" applyBorder="1" applyAlignment="1">
      <alignment horizontal="left" vertical="center" wrapText="1"/>
    </xf>
    <xf numFmtId="0" fontId="40" fillId="12" borderId="1" xfId="0" applyFont="1" applyFill="1" applyBorder="1" applyAlignment="1">
      <alignment horizontal="left" vertical="center" wrapText="1"/>
    </xf>
    <xf numFmtId="0" fontId="40" fillId="12" borderId="1" xfId="0" applyFont="1" applyFill="1" applyBorder="1" applyAlignment="1">
      <alignment horizontal="left" vertical="center"/>
    </xf>
  </cellXfs>
  <cellStyles count="3">
    <cellStyle name="Comma" xfId="2" builtinId="3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5B00"/>
      <rgbColor rgb="FF008000"/>
      <rgbColor rgb="FF154360"/>
      <rgbColor rgb="FF7D6608"/>
      <rgbColor rgb="FF555555"/>
      <rgbColor rgb="FF006633"/>
      <rgbColor rgb="FFE2D9F3"/>
      <rgbColor rgb="FF888888"/>
      <rgbColor rgb="FFDEEAF1"/>
      <rgbColor rgb="FF6E2F8C"/>
      <rgbColor rgb="FFFFF9DB"/>
      <rgbColor rgb="FFD0F0EC"/>
      <rgbColor rgb="FF3C3C3C"/>
      <rgbColor rgb="FFE8F8F0"/>
      <rgbColor rgb="FF2E5FA3"/>
      <rgbColor rgb="FFBDD7EE"/>
      <rgbColor rgb="FF1A5276"/>
      <rgbColor rgb="FFFF00FF"/>
      <rgbColor rgb="FFFFFBEC"/>
      <rgbColor rgb="FF00FFFF"/>
      <rgbColor rgb="FF800080"/>
      <rgbColor rgb="FF800000"/>
      <rgbColor rgb="FF2D5F8A"/>
      <rgbColor rgb="FF0000FF"/>
      <rgbColor rgb="FF00CCFF"/>
      <rgbColor rgb="FFD9F0F0"/>
      <rgbColor rgb="FFE2EFDA"/>
      <rgbColor rgb="FFFFF2CC"/>
      <rgbColor rgb="FFD6E4F0"/>
      <rgbColor rgb="FFDCE6F1"/>
      <rgbColor rgb="FFEAE0F5"/>
      <rgbColor rgb="FFFCE4D6"/>
      <rgbColor rgb="FF4F81BD"/>
      <rgbColor rgb="FF00B050"/>
      <rgbColor rgb="FFDDEBF7"/>
      <rgbColor rgb="FFF2F2F2"/>
      <rgbColor rgb="FFC9A228"/>
      <rgbColor rgb="FFE8702A"/>
      <rgbColor rgb="FF666666"/>
      <rgbColor rgb="FFAAAAAA"/>
      <rgbColor rgb="FF002060"/>
      <rgbColor rgb="FF1E8449"/>
      <rgbColor rgb="FF1B2E4A"/>
      <rgbColor rgb="FF1F1F1F"/>
      <rgbColor rgb="FFC0392B"/>
      <rgbColor rgb="FF7030A0"/>
      <rgbColor rgb="FF1F3864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dyasagar Reddy, Gantla" id="{257DD333-5751-4317-9F80-9CF358C08A04}" userId="S::Gantla.VidyasagarReddy@voith.com::2f478200-f102-40ec-91be-0b904a461d6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" dT="2026-08-06T12:12:48.39" personId="{257DD333-5751-4317-9F80-9CF358C08A04}" id="{B201046B-964F-4F74-AC6F-F4CAC74E437E}">
    <text>If thickness &gt;45 mm rolling to be outsourced up to thickness 60 mm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41"/>
  <sheetViews>
    <sheetView showGridLines="0" tabSelected="1" zoomScale="70" zoomScaleNormal="70" workbookViewId="0">
      <pane xSplit="2" ySplit="6" topLeftCell="K76" activePane="bottomRight" state="frozen"/>
      <selection pane="topRight" activeCell="C1" sqref="C1"/>
      <selection pane="bottomLeft" activeCell="A7" sqref="A7"/>
      <selection pane="bottomRight" activeCell="C22" sqref="C22"/>
    </sheetView>
  </sheetViews>
  <sheetFormatPr defaultColWidth="8.6328125" defaultRowHeight="14.5" x14ac:dyDescent="0.35"/>
  <cols>
    <col min="1" max="1" width="44" customWidth="1"/>
    <col min="2" max="2" width="6.6328125" customWidth="1"/>
    <col min="3" max="6" width="15" customWidth="1"/>
    <col min="7" max="7" width="17.90625" customWidth="1"/>
    <col min="8" max="19" width="15" customWidth="1"/>
    <col min="20" max="49" width="8.6328125" style="106"/>
  </cols>
  <sheetData>
    <row r="1" spans="1:23" ht="20" customHeight="1" x14ac:dyDescent="0.35">
      <c r="A1" s="216" t="s">
        <v>646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106"/>
      <c r="N1" s="106"/>
      <c r="O1" s="106"/>
      <c r="P1" s="106"/>
      <c r="Q1" s="106"/>
      <c r="R1" s="106"/>
      <c r="S1" s="106"/>
    </row>
    <row r="2" spans="1:23" ht="23.5" x14ac:dyDescent="0.55000000000000004">
      <c r="A2" s="147" t="s">
        <v>669</v>
      </c>
      <c r="B2" s="218" t="s">
        <v>670</v>
      </c>
      <c r="C2" s="218"/>
      <c r="D2" s="218"/>
      <c r="E2" s="218"/>
      <c r="F2" s="218"/>
      <c r="G2" s="218"/>
      <c r="H2" s="218"/>
      <c r="I2" s="218"/>
      <c r="J2" s="218"/>
      <c r="K2" s="147"/>
      <c r="L2" s="147"/>
      <c r="M2" s="147"/>
      <c r="N2" s="147"/>
      <c r="O2" s="147"/>
      <c r="P2" s="147"/>
      <c r="Q2" s="147"/>
      <c r="R2" s="147"/>
      <c r="S2" s="147"/>
    </row>
    <row r="3" spans="1:23" ht="22" customHeight="1" thickBot="1" x14ac:dyDescent="0.4">
      <c r="A3" s="147" t="s">
        <v>671</v>
      </c>
      <c r="B3" s="219"/>
      <c r="C3" s="220"/>
      <c r="D3" s="220"/>
      <c r="E3" s="221"/>
      <c r="F3" s="148" t="s">
        <v>673</v>
      </c>
      <c r="G3" s="149" t="s">
        <v>674</v>
      </c>
      <c r="H3" s="148" t="s">
        <v>675</v>
      </c>
      <c r="I3" s="222" t="s">
        <v>674</v>
      </c>
      <c r="J3" s="223"/>
      <c r="K3" s="147" t="s">
        <v>676</v>
      </c>
      <c r="L3" s="150">
        <v>46196</v>
      </c>
      <c r="M3" s="147" t="s">
        <v>676</v>
      </c>
      <c r="N3" s="147" t="s">
        <v>676</v>
      </c>
      <c r="O3" s="147" t="s">
        <v>676</v>
      </c>
      <c r="P3" s="147" t="s">
        <v>676</v>
      </c>
      <c r="Q3" s="147" t="s">
        <v>676</v>
      </c>
      <c r="R3" s="147" t="s">
        <v>676</v>
      </c>
      <c r="S3" s="147" t="s">
        <v>676</v>
      </c>
    </row>
    <row r="4" spans="1:23" ht="15" thickBot="1" x14ac:dyDescent="0.4">
      <c r="A4" s="147" t="s">
        <v>677</v>
      </c>
      <c r="B4" s="224" t="s">
        <v>678</v>
      </c>
      <c r="C4" s="225"/>
      <c r="D4" s="225"/>
      <c r="E4" s="226"/>
      <c r="F4" s="148" t="s">
        <v>679</v>
      </c>
      <c r="G4" s="151" t="s">
        <v>680</v>
      </c>
      <c r="H4" s="148" t="s">
        <v>681</v>
      </c>
      <c r="I4" s="227" t="s">
        <v>682</v>
      </c>
      <c r="J4" s="228"/>
      <c r="K4" s="152"/>
      <c r="L4" s="152"/>
      <c r="M4" s="152"/>
      <c r="N4" s="152"/>
      <c r="O4" s="152"/>
      <c r="P4" s="152"/>
      <c r="Q4" s="152"/>
      <c r="R4" s="152"/>
      <c r="S4" s="152"/>
    </row>
    <row r="5" spans="1:23" ht="30" customHeight="1" x14ac:dyDescent="0.35">
      <c r="A5" s="1" t="s">
        <v>0</v>
      </c>
      <c r="B5" s="1" t="s">
        <v>1</v>
      </c>
      <c r="C5" s="2" t="s">
        <v>271</v>
      </c>
      <c r="D5" s="2" t="s">
        <v>272</v>
      </c>
      <c r="E5" s="2" t="s">
        <v>273</v>
      </c>
      <c r="F5" s="2" t="s">
        <v>274</v>
      </c>
      <c r="G5" s="2" t="s">
        <v>275</v>
      </c>
      <c r="H5" s="2" t="s">
        <v>276</v>
      </c>
      <c r="I5" s="2" t="s">
        <v>277</v>
      </c>
      <c r="J5" s="2" t="s">
        <v>278</v>
      </c>
      <c r="K5" s="2" t="s">
        <v>279</v>
      </c>
      <c r="L5" s="2" t="s">
        <v>280</v>
      </c>
      <c r="M5" s="2" t="s">
        <v>779</v>
      </c>
      <c r="N5" s="2" t="s">
        <v>780</v>
      </c>
      <c r="O5" s="2" t="s">
        <v>781</v>
      </c>
      <c r="P5" s="2" t="s">
        <v>782</v>
      </c>
      <c r="Q5" s="2" t="s">
        <v>783</v>
      </c>
      <c r="R5" s="2" t="s">
        <v>784</v>
      </c>
      <c r="S5" s="2" t="s">
        <v>785</v>
      </c>
    </row>
    <row r="6" spans="1:23" x14ac:dyDescent="0.35">
      <c r="A6" s="217" t="s">
        <v>2</v>
      </c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106"/>
      <c r="N6" s="106"/>
      <c r="O6" s="106"/>
      <c r="P6" s="106"/>
      <c r="Q6" s="106"/>
      <c r="R6" s="106"/>
      <c r="S6" s="106"/>
    </row>
    <row r="7" spans="1:23" ht="22.5" customHeight="1" x14ac:dyDescent="0.35">
      <c r="A7" s="3" t="s">
        <v>3</v>
      </c>
      <c r="B7" s="4" t="s">
        <v>4</v>
      </c>
      <c r="C7" s="158" t="str">
        <f>'TECH DATA SHEET'!C7</f>
        <v>P0108789-Pulleys for -01352532</v>
      </c>
      <c r="D7" s="158" t="str">
        <f>'TECH DATA SHEET'!D7</f>
        <v>P0108789-Pulleys for -01352532</v>
      </c>
      <c r="E7" s="158" t="str">
        <f>'TECH DATA SHEET'!E7</f>
        <v>P0108789-Pulleys for -01352532</v>
      </c>
      <c r="F7" s="158" t="str">
        <f>'TECH DATA SHEET'!F7</f>
        <v>P0108789-Pulleys for -01352532</v>
      </c>
      <c r="G7" s="158" t="str">
        <f>'TECH DATA SHEET'!G7</f>
        <v>P0108789-Pulleys for -01352532</v>
      </c>
      <c r="H7" s="158" t="str">
        <f>'TECH DATA SHEET'!H7</f>
        <v>P0108789-Pulleys for -01352532</v>
      </c>
      <c r="I7" s="158" t="str">
        <f>'TECH DATA SHEET'!I7</f>
        <v>P0108789-Pulleys for -01352532</v>
      </c>
      <c r="J7" s="158" t="str">
        <f>'TECH DATA SHEET'!J7</f>
        <v>P0108789-Pulleys for -01352532</v>
      </c>
      <c r="K7" s="158" t="str">
        <f>'TECH DATA SHEET'!K7</f>
        <v>P0108789-Pulleys for -01352532</v>
      </c>
      <c r="L7" s="158" t="str">
        <f>'TECH DATA SHEET'!L7</f>
        <v>P0108789-Pulleys for -01352532</v>
      </c>
      <c r="M7" s="158" t="str">
        <f>'TECH DATA SHEET'!M7</f>
        <v>P0108789-Pulleys for -01352532</v>
      </c>
      <c r="N7" s="158" t="str">
        <f>'TECH DATA SHEET'!N7</f>
        <v>P0108789-Pulleys for -01352532</v>
      </c>
      <c r="O7" s="158" t="str">
        <f>'TECH DATA SHEET'!O7</f>
        <v>P0108789-Pulleys for -01352532</v>
      </c>
      <c r="P7" s="158" t="str">
        <f>'TECH DATA SHEET'!P7</f>
        <v>P0108789-Pulleys for -01352532</v>
      </c>
      <c r="Q7" s="158" t="str">
        <f>'TECH DATA SHEET'!Q7</f>
        <v>P0108789-Pulleys for -01352532</v>
      </c>
      <c r="R7" s="158" t="str">
        <f>'TECH DATA SHEET'!R7</f>
        <v>P0108789-Pulleys for -01352532</v>
      </c>
      <c r="S7" s="158" t="str">
        <f>'TECH DATA SHEET'!S7</f>
        <v>P0108789-Pulleys for -01352532</v>
      </c>
    </row>
    <row r="8" spans="1:23" ht="29" customHeight="1" x14ac:dyDescent="0.35">
      <c r="A8" s="3" t="s">
        <v>5</v>
      </c>
      <c r="B8" s="4" t="s">
        <v>4</v>
      </c>
      <c r="C8" s="5" t="str">
        <f>'TECH DATA SHEET'!C8</f>
        <v>pulley_1</v>
      </c>
      <c r="D8" s="5" t="str">
        <f>'TECH DATA SHEET'!D8</f>
        <v>pulley_2</v>
      </c>
      <c r="E8" s="5" t="str">
        <f>'TECH DATA SHEET'!E8</f>
        <v>pulley_3</v>
      </c>
      <c r="F8" s="5" t="str">
        <f>'TECH DATA SHEET'!F8</f>
        <v>pulley_4</v>
      </c>
      <c r="G8" s="5" t="str">
        <f>'TECH DATA SHEET'!G8</f>
        <v>pulley_5</v>
      </c>
      <c r="H8" s="5" t="str">
        <f>'TECH DATA SHEET'!H8</f>
        <v>pulley_6</v>
      </c>
      <c r="I8" s="5" t="str">
        <f>'TECH DATA SHEET'!I8</f>
        <v>pulley_7</v>
      </c>
      <c r="J8" s="5" t="str">
        <f>'TECH DATA SHEET'!J8</f>
        <v>pulley_8</v>
      </c>
      <c r="K8" s="5" t="str">
        <f>'TECH DATA SHEET'!K8</f>
        <v>pulley_9</v>
      </c>
      <c r="L8" s="5" t="str">
        <f>'TECH DATA SHEET'!L8</f>
        <v>pulley_10</v>
      </c>
      <c r="M8" s="5" t="str">
        <f>'TECH DATA SHEET'!M8</f>
        <v>pulley_11</v>
      </c>
      <c r="N8" s="5" t="str">
        <f>'TECH DATA SHEET'!N8</f>
        <v>pulley_12</v>
      </c>
      <c r="O8" s="5" t="str">
        <f>'TECH DATA SHEET'!O8</f>
        <v>pulley_13</v>
      </c>
      <c r="P8" s="5" t="str">
        <f>'TECH DATA SHEET'!P8</f>
        <v>pulley_14</v>
      </c>
      <c r="Q8" s="5" t="str">
        <f>'TECH DATA SHEET'!Q8</f>
        <v>pulley_15</v>
      </c>
      <c r="R8" s="5" t="str">
        <f>'TECH DATA SHEET'!R8</f>
        <v>pulley_16</v>
      </c>
      <c r="S8" s="5" t="str">
        <f>'TECH DATA SHEET'!S8</f>
        <v>pulley_17</v>
      </c>
    </row>
    <row r="9" spans="1:23" x14ac:dyDescent="0.35">
      <c r="A9" s="3" t="s">
        <v>6</v>
      </c>
      <c r="B9" s="4" t="s">
        <v>4</v>
      </c>
      <c r="C9" s="5" t="str">
        <f>'TECH DATA SHEET'!C9</f>
        <v>live shaft pulley</v>
      </c>
      <c r="D9" s="5" t="str">
        <f>'TECH DATA SHEET'!D9</f>
        <v>live shaft pulley</v>
      </c>
      <c r="E9" s="5" t="str">
        <f>'TECH DATA SHEET'!E9</f>
        <v>live shaft pulley</v>
      </c>
      <c r="F9" s="5" t="str">
        <f>'TECH DATA SHEET'!F9</f>
        <v>live shaft pulley</v>
      </c>
      <c r="G9" s="5" t="str">
        <f>'TECH DATA SHEET'!G9</f>
        <v>live shaft pulley</v>
      </c>
      <c r="H9" s="5" t="str">
        <f>'TECH DATA SHEET'!H9</f>
        <v>live shaft pulley</v>
      </c>
      <c r="I9" s="5" t="str">
        <f>'TECH DATA SHEET'!I9</f>
        <v>live shaft pulley</v>
      </c>
      <c r="J9" s="5" t="str">
        <f>'TECH DATA SHEET'!J9</f>
        <v>live shaft pulley</v>
      </c>
      <c r="K9" s="5" t="str">
        <f>'TECH DATA SHEET'!K9</f>
        <v>live shaft pulley</v>
      </c>
      <c r="L9" s="5" t="str">
        <f>'TECH DATA SHEET'!L9</f>
        <v>live shaft pulley</v>
      </c>
      <c r="M9" s="5" t="str">
        <f>'TECH DATA SHEET'!M9</f>
        <v>live shaft pulley</v>
      </c>
      <c r="N9" s="5" t="str">
        <f>'TECH DATA SHEET'!N9</f>
        <v>live shaft pulley</v>
      </c>
      <c r="O9" s="5" t="str">
        <f>'TECH DATA SHEET'!O9</f>
        <v>live shaft pulley</v>
      </c>
      <c r="P9" s="5" t="str">
        <f>'TECH DATA SHEET'!P9</f>
        <v>live shaft pulley</v>
      </c>
      <c r="Q9" s="5" t="str">
        <f>'TECH DATA SHEET'!Q9</f>
        <v>live shaft pulley</v>
      </c>
      <c r="R9" s="5" t="str">
        <f>'TECH DATA SHEET'!R9</f>
        <v>live shaft pulley</v>
      </c>
      <c r="S9" s="5" t="str">
        <f>'TECH DATA SHEET'!S9</f>
        <v>live shaft pulley</v>
      </c>
    </row>
    <row r="10" spans="1:23" x14ac:dyDescent="0.35">
      <c r="A10" s="3" t="s">
        <v>7</v>
      </c>
      <c r="B10" s="4" t="s">
        <v>8</v>
      </c>
      <c r="C10" s="5">
        <v>1</v>
      </c>
      <c r="D10" s="5">
        <f>'TECH DATA SHEET'!D10</f>
        <v>3</v>
      </c>
      <c r="E10" s="5">
        <f>'TECH DATA SHEET'!E10</f>
        <v>2</v>
      </c>
      <c r="F10" s="5">
        <f>'TECH DATA SHEET'!F10</f>
        <v>1</v>
      </c>
      <c r="G10" s="5">
        <f>'TECH DATA SHEET'!G10</f>
        <v>2</v>
      </c>
      <c r="H10" s="5">
        <f>'TECH DATA SHEET'!H10</f>
        <v>2</v>
      </c>
      <c r="I10" s="5">
        <f>'TECH DATA SHEET'!I10</f>
        <v>4</v>
      </c>
      <c r="J10" s="5">
        <f>'TECH DATA SHEET'!J10</f>
        <v>3</v>
      </c>
      <c r="K10" s="5">
        <f>'TECH DATA SHEET'!K10</f>
        <v>7</v>
      </c>
      <c r="L10" s="5">
        <f>'TECH DATA SHEET'!L10</f>
        <v>6</v>
      </c>
      <c r="M10" s="5">
        <f>'TECH DATA SHEET'!M10</f>
        <v>2</v>
      </c>
      <c r="N10" s="5">
        <f>'TECH DATA SHEET'!N10</f>
        <v>3</v>
      </c>
      <c r="O10" s="5">
        <f>'TECH DATA SHEET'!O10</f>
        <v>8</v>
      </c>
      <c r="P10" s="5">
        <f>'TECH DATA SHEET'!P10</f>
        <v>3</v>
      </c>
      <c r="Q10" s="5">
        <f>'TECH DATA SHEET'!Q10</f>
        <v>6</v>
      </c>
      <c r="R10" s="5">
        <f>'TECH DATA SHEET'!R10</f>
        <v>1</v>
      </c>
      <c r="S10" s="5">
        <f>'TECH DATA SHEET'!S10</f>
        <v>1</v>
      </c>
    </row>
    <row r="12" spans="1:23" x14ac:dyDescent="0.35">
      <c r="A12" s="163" t="s">
        <v>9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V12" s="106">
        <v>15</v>
      </c>
      <c r="W12" s="106" t="s">
        <v>689</v>
      </c>
    </row>
    <row r="13" spans="1:23" x14ac:dyDescent="0.35">
      <c r="A13" s="3" t="s">
        <v>10</v>
      </c>
      <c r="B13" s="4" t="s">
        <v>11</v>
      </c>
      <c r="C13" s="5">
        <f>'TECH DATA SHEET'!C13</f>
        <v>600</v>
      </c>
      <c r="D13" s="5">
        <f>'TECH DATA SHEET'!D13</f>
        <v>600</v>
      </c>
      <c r="E13" s="5">
        <f>'TECH DATA SHEET'!E13</f>
        <v>600</v>
      </c>
      <c r="F13" s="5">
        <f>'TECH DATA SHEET'!F13</f>
        <v>600</v>
      </c>
      <c r="G13" s="5">
        <f>'TECH DATA SHEET'!G13</f>
        <v>630</v>
      </c>
      <c r="H13" s="5">
        <f>'TECH DATA SHEET'!H13</f>
        <v>500</v>
      </c>
      <c r="I13" s="5">
        <f>'TECH DATA SHEET'!I13</f>
        <v>500</v>
      </c>
      <c r="J13" s="5">
        <f>'TECH DATA SHEET'!J13</f>
        <v>400</v>
      </c>
      <c r="K13" s="5">
        <f>'TECH DATA SHEET'!K13</f>
        <v>400</v>
      </c>
      <c r="L13" s="5">
        <f>'TECH DATA SHEET'!L13</f>
        <v>400</v>
      </c>
      <c r="M13" s="5">
        <f>'TECH DATA SHEET'!M13</f>
        <v>500</v>
      </c>
      <c r="N13" s="5">
        <f>'TECH DATA SHEET'!N13</f>
        <v>630</v>
      </c>
      <c r="O13" s="5">
        <f>'TECH DATA SHEET'!O13</f>
        <v>400</v>
      </c>
      <c r="P13" s="5">
        <f>'TECH DATA SHEET'!P13</f>
        <v>500</v>
      </c>
      <c r="Q13" s="5">
        <f>'TECH DATA SHEET'!Q13</f>
        <v>630</v>
      </c>
      <c r="R13" s="5">
        <f>'TECH DATA SHEET'!R13</f>
        <v>800</v>
      </c>
      <c r="S13" s="5">
        <f>'TECH DATA SHEET'!S13</f>
        <v>650</v>
      </c>
      <c r="V13" s="106">
        <f>457-20</f>
        <v>437</v>
      </c>
      <c r="W13" s="106" t="s">
        <v>686</v>
      </c>
    </row>
    <row r="14" spans="1:23" x14ac:dyDescent="0.35">
      <c r="A14" s="3" t="s">
        <v>12</v>
      </c>
      <c r="B14" s="4" t="s">
        <v>11</v>
      </c>
      <c r="C14" s="5">
        <f>'TECH DATA SHEET'!C14</f>
        <v>1300</v>
      </c>
      <c r="D14" s="5">
        <f>'TECH DATA SHEET'!D14</f>
        <v>1150</v>
      </c>
      <c r="E14" s="5">
        <f>'TECH DATA SHEET'!E14</f>
        <v>1150</v>
      </c>
      <c r="F14" s="5">
        <f>'TECH DATA SHEET'!F14</f>
        <v>1150</v>
      </c>
      <c r="G14" s="5">
        <f>'TECH DATA SHEET'!G14</f>
        <v>1400</v>
      </c>
      <c r="H14" s="5">
        <f>'TECH DATA SHEET'!H14</f>
        <v>1700</v>
      </c>
      <c r="I14" s="5">
        <f>'TECH DATA SHEET'!I14</f>
        <v>1400</v>
      </c>
      <c r="J14" s="5">
        <f>'TECH DATA SHEET'!J14</f>
        <v>1700</v>
      </c>
      <c r="K14" s="5">
        <f>'TECH DATA SHEET'!K14</f>
        <v>1400</v>
      </c>
      <c r="L14" s="5">
        <f>'TECH DATA SHEET'!L14</f>
        <v>1400</v>
      </c>
      <c r="M14" s="5">
        <f>'TECH DATA SHEET'!M14</f>
        <v>1400</v>
      </c>
      <c r="N14" s="5">
        <f>'TECH DATA SHEET'!N14</f>
        <v>1200</v>
      </c>
      <c r="O14" s="5">
        <f>'TECH DATA SHEET'!O14</f>
        <v>1200</v>
      </c>
      <c r="P14" s="5">
        <f>'TECH DATA SHEET'!P14</f>
        <v>1200</v>
      </c>
      <c r="Q14" s="5">
        <f>'TECH DATA SHEET'!Q14</f>
        <v>1200</v>
      </c>
      <c r="R14" s="5">
        <f>'TECH DATA SHEET'!R14</f>
        <v>1200</v>
      </c>
      <c r="S14" s="5">
        <f>'TECH DATA SHEET'!S14</f>
        <v>1200</v>
      </c>
      <c r="V14" s="106">
        <f>V13+15+15</f>
        <v>467</v>
      </c>
      <c r="W14" s="106" t="s">
        <v>687</v>
      </c>
    </row>
    <row r="15" spans="1:23" x14ac:dyDescent="0.35">
      <c r="A15" s="3" t="s">
        <v>685</v>
      </c>
      <c r="B15" s="4" t="s">
        <v>11</v>
      </c>
      <c r="C15" s="5">
        <f>'TECH DATA SHEET'!C15+5+3</f>
        <v>30</v>
      </c>
      <c r="D15" s="5">
        <f>'TECH DATA SHEET'!D15+5+3</f>
        <v>30</v>
      </c>
      <c r="E15" s="5">
        <f>'TECH DATA SHEET'!E15+5+3</f>
        <v>40</v>
      </c>
      <c r="F15" s="5">
        <f>'TECH DATA SHEET'!F15+5+3</f>
        <v>40</v>
      </c>
      <c r="G15" s="5">
        <f>'TECH DATA SHEET'!G15+5+3</f>
        <v>30</v>
      </c>
      <c r="H15" s="5">
        <f>'TECH DATA SHEET'!H15+5+3</f>
        <v>30</v>
      </c>
      <c r="I15" s="5">
        <f>'TECH DATA SHEET'!I15+5+3</f>
        <v>30</v>
      </c>
      <c r="J15" s="5">
        <f>'TECH DATA SHEET'!J15+5+3</f>
        <v>30</v>
      </c>
      <c r="K15" s="5">
        <f>'TECH DATA SHEET'!K15+5+3</f>
        <v>30</v>
      </c>
      <c r="L15" s="5">
        <f>'TECH DATA SHEET'!L15+5+3</f>
        <v>30</v>
      </c>
      <c r="M15" s="5">
        <f>'TECH DATA SHEET'!M15+5+3</f>
        <v>30</v>
      </c>
      <c r="N15" s="5">
        <f>'TECH DATA SHEET'!N15+5+3</f>
        <v>30</v>
      </c>
      <c r="O15" s="5">
        <f>'TECH DATA SHEET'!O15+5+3</f>
        <v>30</v>
      </c>
      <c r="P15" s="5">
        <f>'TECH DATA SHEET'!P15+5+3</f>
        <v>30</v>
      </c>
      <c r="Q15" s="5">
        <f>'TECH DATA SHEET'!Q15+5+3</f>
        <v>30</v>
      </c>
      <c r="R15" s="5">
        <f>'TECH DATA SHEET'!R15+5+3</f>
        <v>30</v>
      </c>
      <c r="S15" s="5">
        <f>'TECH DATA SHEET'!S15+5+3</f>
        <v>30</v>
      </c>
      <c r="V15" s="106">
        <f>(V14-V12)*3.141593+(120)</f>
        <v>1540.0000359999999</v>
      </c>
      <c r="W15" s="106" t="s">
        <v>688</v>
      </c>
    </row>
    <row r="16" spans="1:23" x14ac:dyDescent="0.35">
      <c r="A16" s="3" t="s">
        <v>661</v>
      </c>
      <c r="B16" s="4" t="s">
        <v>11</v>
      </c>
      <c r="C16" s="5">
        <f>'TECH DATA SHEET'!C16</f>
        <v>1300</v>
      </c>
      <c r="D16" s="5">
        <f>'TECH DATA SHEET'!D16</f>
        <v>1150</v>
      </c>
      <c r="E16" s="5">
        <f>'TECH DATA SHEET'!E16</f>
        <v>1150</v>
      </c>
      <c r="F16" s="5">
        <f>'TECH DATA SHEET'!F16</f>
        <v>1150</v>
      </c>
      <c r="G16" s="5">
        <f>'TECH DATA SHEET'!G16</f>
        <v>1400</v>
      </c>
      <c r="H16" s="5">
        <f>'TECH DATA SHEET'!H16</f>
        <v>1700</v>
      </c>
      <c r="I16" s="5">
        <f>'TECH DATA SHEET'!I16</f>
        <v>1400</v>
      </c>
      <c r="J16" s="5">
        <f>'TECH DATA SHEET'!J16</f>
        <v>1700</v>
      </c>
      <c r="K16" s="5">
        <f>'TECH DATA SHEET'!K16</f>
        <v>1400</v>
      </c>
      <c r="L16" s="5">
        <f>'TECH DATA SHEET'!L16</f>
        <v>1400</v>
      </c>
      <c r="M16" s="5">
        <f>'TECH DATA SHEET'!M16</f>
        <v>1400</v>
      </c>
      <c r="N16" s="5">
        <f>'TECH DATA SHEET'!N16</f>
        <v>1200</v>
      </c>
      <c r="O16" s="5">
        <f>'TECH DATA SHEET'!O16</f>
        <v>1200</v>
      </c>
      <c r="P16" s="5">
        <f>'TECH DATA SHEET'!P16</f>
        <v>1200</v>
      </c>
      <c r="Q16" s="5">
        <f>'TECH DATA SHEET'!Q16</f>
        <v>1200</v>
      </c>
      <c r="R16" s="5">
        <f>'TECH DATA SHEET'!R16</f>
        <v>1200</v>
      </c>
      <c r="S16" s="5">
        <f>'TECH DATA SHEET'!S16</f>
        <v>1200</v>
      </c>
    </row>
    <row r="17" spans="1:22" x14ac:dyDescent="0.35">
      <c r="A17" s="3" t="s">
        <v>662</v>
      </c>
      <c r="B17" s="4" t="s">
        <v>11</v>
      </c>
      <c r="C17" s="156">
        <f>(C13+10-C15)*3.141593+100</f>
        <v>1922.1239399999999</v>
      </c>
      <c r="D17" s="156">
        <f>(D13-D15)*3.141593</f>
        <v>1790.7080099999998</v>
      </c>
      <c r="E17" s="156">
        <f t="shared" ref="E17:J17" si="0">(E13-E15)*3.141593</f>
        <v>1759.2920799999999</v>
      </c>
      <c r="F17" s="156">
        <f t="shared" si="0"/>
        <v>1759.2920799999999</v>
      </c>
      <c r="G17" s="156">
        <f t="shared" si="0"/>
        <v>1884.9558</v>
      </c>
      <c r="H17" s="156">
        <f t="shared" si="0"/>
        <v>1476.54871</v>
      </c>
      <c r="I17" s="156">
        <f t="shared" si="0"/>
        <v>1476.54871</v>
      </c>
      <c r="J17" s="156">
        <f t="shared" si="0"/>
        <v>1162.38941</v>
      </c>
      <c r="K17" s="156">
        <f t="shared" ref="K17:L17" si="1">(K13+8-K15)*3.141593+100</f>
        <v>1287.522154</v>
      </c>
      <c r="L17" s="156">
        <f t="shared" si="1"/>
        <v>1287.522154</v>
      </c>
      <c r="M17" s="156">
        <f t="shared" ref="M17:S17" si="2">(M13+8-M15)*3.141593+100</f>
        <v>1601.681454</v>
      </c>
      <c r="N17" s="156">
        <f t="shared" si="2"/>
        <v>2010.088544</v>
      </c>
      <c r="O17" s="156">
        <f t="shared" si="2"/>
        <v>1287.522154</v>
      </c>
      <c r="P17" s="156">
        <f t="shared" si="2"/>
        <v>1601.681454</v>
      </c>
      <c r="Q17" s="156">
        <f t="shared" si="2"/>
        <v>2010.088544</v>
      </c>
      <c r="R17" s="156">
        <f t="shared" si="2"/>
        <v>2544.1593539999999</v>
      </c>
      <c r="S17" s="156">
        <f t="shared" si="2"/>
        <v>2072.920404</v>
      </c>
      <c r="V17" s="106" t="s">
        <v>690</v>
      </c>
    </row>
    <row r="18" spans="1:22" x14ac:dyDescent="0.35">
      <c r="A18" s="3" t="s">
        <v>660</v>
      </c>
      <c r="B18" s="4" t="s">
        <v>11</v>
      </c>
      <c r="C18" s="5">
        <f>'TECH DATA SHEET'!C18</f>
        <v>624</v>
      </c>
      <c r="D18" s="5">
        <f>'TECH DATA SHEET'!D18</f>
        <v>624</v>
      </c>
      <c r="E18" s="5">
        <f>'TECH DATA SHEET'!E18</f>
        <v>624</v>
      </c>
      <c r="F18" s="5">
        <f>'TECH DATA SHEET'!F18</f>
        <v>624</v>
      </c>
      <c r="G18" s="5">
        <f>'TECH DATA SHEET'!G18</f>
        <v>654</v>
      </c>
      <c r="H18" s="5">
        <f>'TECH DATA SHEET'!H18</f>
        <v>524</v>
      </c>
      <c r="I18" s="5">
        <f>'TECH DATA SHEET'!I18</f>
        <v>524</v>
      </c>
      <c r="J18" s="5">
        <f>'TECH DATA SHEET'!J18</f>
        <v>424</v>
      </c>
      <c r="K18" s="5">
        <f>'TECH DATA SHEET'!K18</f>
        <v>424</v>
      </c>
      <c r="L18" s="5">
        <f>'TECH DATA SHEET'!L18</f>
        <v>424</v>
      </c>
      <c r="M18" s="5">
        <f>'TECH DATA SHEET'!M18</f>
        <v>524</v>
      </c>
      <c r="N18" s="5">
        <f>'TECH DATA SHEET'!N18</f>
        <v>654</v>
      </c>
      <c r="O18" s="5">
        <f>'TECH DATA SHEET'!O18</f>
        <v>424</v>
      </c>
      <c r="P18" s="5">
        <f>'TECH DATA SHEET'!P18</f>
        <v>524</v>
      </c>
      <c r="Q18" s="5">
        <f>'TECH DATA SHEET'!Q18</f>
        <v>654</v>
      </c>
      <c r="R18" s="5">
        <f>'TECH DATA SHEET'!R18</f>
        <v>824</v>
      </c>
      <c r="S18" s="5">
        <f>'TECH DATA SHEET'!S18</f>
        <v>674</v>
      </c>
      <c r="V18" s="106">
        <f>15*(711/1000)*(1540/1000)*7.85</f>
        <v>128.92918499999999</v>
      </c>
    </row>
    <row r="19" spans="1:22" x14ac:dyDescent="0.35">
      <c r="A19" s="3" t="s">
        <v>13</v>
      </c>
      <c r="B19" s="4" t="s">
        <v>11</v>
      </c>
      <c r="C19" s="5">
        <f>'TECH DATA SHEET'!C19</f>
        <v>1650</v>
      </c>
      <c r="D19" s="5">
        <f>'TECH DATA SHEET'!D19</f>
        <v>1525</v>
      </c>
      <c r="E19" s="5">
        <f>'TECH DATA SHEET'!E19</f>
        <v>1525</v>
      </c>
      <c r="F19" s="5">
        <f>'TECH DATA SHEET'!F19</f>
        <v>1525</v>
      </c>
      <c r="G19" s="5">
        <f>'TECH DATA SHEET'!G19</f>
        <v>1665</v>
      </c>
      <c r="H19" s="5">
        <f>'TECH DATA SHEET'!H19</f>
        <v>1955</v>
      </c>
      <c r="I19" s="5">
        <f>'TECH DATA SHEET'!I19</f>
        <v>1665</v>
      </c>
      <c r="J19" s="5">
        <f>'TECH DATA SHEET'!J19</f>
        <v>1955</v>
      </c>
      <c r="K19" s="5">
        <f>'TECH DATA SHEET'!K19</f>
        <v>1665</v>
      </c>
      <c r="L19" s="5">
        <f>'TECH DATA SHEET'!L19</f>
        <v>1620</v>
      </c>
      <c r="M19" s="5">
        <f>'TECH DATA SHEET'!M19</f>
        <v>1640</v>
      </c>
      <c r="N19" s="5">
        <f>'TECH DATA SHEET'!N19</f>
        <v>1465</v>
      </c>
      <c r="O19" s="5">
        <f>'TECH DATA SHEET'!O19</f>
        <v>1420</v>
      </c>
      <c r="P19" s="5">
        <f>'TECH DATA SHEET'!P19</f>
        <v>1440</v>
      </c>
      <c r="Q19" s="5">
        <f>'TECH DATA SHEET'!Q19</f>
        <v>1465</v>
      </c>
      <c r="R19" s="5">
        <f>'TECH DATA SHEET'!R19</f>
        <v>1465</v>
      </c>
      <c r="S19" s="5">
        <f>'TECH DATA SHEET'!S19</f>
        <v>1465</v>
      </c>
    </row>
    <row r="20" spans="1:22" x14ac:dyDescent="0.35">
      <c r="A20" s="3" t="s">
        <v>14</v>
      </c>
      <c r="B20" s="4" t="s">
        <v>15</v>
      </c>
      <c r="C20" s="5">
        <f>'TECH DATA SHEET'!C20</f>
        <v>762.81794986348996</v>
      </c>
      <c r="D20" s="5">
        <f>'TECH DATA SHEET'!D20</f>
        <v>708.48557754121077</v>
      </c>
      <c r="E20" s="5">
        <f>'TECH DATA SHEET'!E20</f>
        <v>838.09163688986587</v>
      </c>
      <c r="F20" s="5">
        <f>'TECH DATA SHEET'!F20</f>
        <v>832.02298371933682</v>
      </c>
      <c r="G20" s="5">
        <f>'TECH DATA SHEET'!G20</f>
        <v>721.12585522230313</v>
      </c>
      <c r="H20" s="5">
        <f>'TECH DATA SHEET'!H20</f>
        <v>607.87150634799605</v>
      </c>
      <c r="I20" s="5">
        <f>'TECH DATA SHEET'!I20</f>
        <v>517.70288845144773</v>
      </c>
      <c r="J20" s="5">
        <f>'TECH DATA SHEET'!J20</f>
        <v>449.43615077477625</v>
      </c>
      <c r="K20" s="5">
        <f>'TECH DATA SHEET'!K20</f>
        <v>377.76365962623788</v>
      </c>
      <c r="L20" s="5">
        <f>'TECH DATA SHEET'!L20</f>
        <v>382.89818441148537</v>
      </c>
      <c r="M20" s="5">
        <f>'TECH DATA SHEET'!M20</f>
        <v>511.69877936481851</v>
      </c>
      <c r="N20" s="5">
        <f>'TECH DATA SHEET'!N20</f>
        <v>0</v>
      </c>
      <c r="O20" s="5">
        <f>'TECH DATA SHEET'!O20</f>
        <v>335.11652364579311</v>
      </c>
      <c r="P20" s="5">
        <f>'TECH DATA SHEET'!P20</f>
        <v>451.58636743378634</v>
      </c>
      <c r="Q20" s="5">
        <f>'TECH DATA SHEET'!Q20</f>
        <v>644.98346677632901</v>
      </c>
      <c r="R20" s="5">
        <f>'TECH DATA SHEET'!R20</f>
        <v>1201.5828404608844</v>
      </c>
      <c r="S20" s="5">
        <f>'TECH DATA SHEET'!S20</f>
        <v>833.96638408750141</v>
      </c>
    </row>
    <row r="21" spans="1:22" x14ac:dyDescent="0.35">
      <c r="A21" s="3" t="s">
        <v>648</v>
      </c>
      <c r="B21" s="4" t="s">
        <v>15</v>
      </c>
      <c r="C21" s="8">
        <f>(C15*(C16/1000)*(C17/1000)*7.85)</f>
        <v>588.45824423099998</v>
      </c>
      <c r="D21" s="8">
        <f t="shared" ref="D21:L21" si="3">(D15*(D16/1000)*(D17/1000)*7.85)</f>
        <v>484.96849680824994</v>
      </c>
      <c r="E21" s="8">
        <f t="shared" si="3"/>
        <v>635.28037008800004</v>
      </c>
      <c r="F21" s="8">
        <f t="shared" si="3"/>
        <v>635.28037008800004</v>
      </c>
      <c r="G21" s="8">
        <f t="shared" si="3"/>
        <v>621.46992725999996</v>
      </c>
      <c r="H21" s="8">
        <f t="shared" si="3"/>
        <v>591.13627604850001</v>
      </c>
      <c r="I21" s="8">
        <f t="shared" si="3"/>
        <v>486.818109687</v>
      </c>
      <c r="J21" s="8">
        <f t="shared" si="3"/>
        <v>465.36260029350001</v>
      </c>
      <c r="K21" s="8">
        <f t="shared" si="3"/>
        <v>424.49605417379996</v>
      </c>
      <c r="L21" s="8">
        <f t="shared" si="3"/>
        <v>424.49605417379996</v>
      </c>
      <c r="M21" s="8">
        <f t="shared" ref="M21:S21" si="4">(M15*(M16/1000)*(M17/1000)*7.85)</f>
        <v>528.07437538379997</v>
      </c>
      <c r="N21" s="8">
        <f t="shared" si="4"/>
        <v>568.05102253439986</v>
      </c>
      <c r="O21" s="8">
        <f t="shared" si="4"/>
        <v>363.85376072039992</v>
      </c>
      <c r="P21" s="8">
        <f t="shared" si="4"/>
        <v>452.63517890039998</v>
      </c>
      <c r="Q21" s="8">
        <f t="shared" si="4"/>
        <v>568.05102253439986</v>
      </c>
      <c r="R21" s="8">
        <f t="shared" si="4"/>
        <v>718.97943344040004</v>
      </c>
      <c r="S21" s="8">
        <f t="shared" si="4"/>
        <v>585.80730617040001</v>
      </c>
    </row>
    <row r="22" spans="1:22" x14ac:dyDescent="0.35">
      <c r="A22" s="139" t="s">
        <v>665</v>
      </c>
      <c r="B22" s="4" t="s">
        <v>37</v>
      </c>
      <c r="C22" s="142">
        <f>'Raw Forging Prices'!$I$14</f>
        <v>110</v>
      </c>
      <c r="D22" s="142">
        <f>'Raw Forging Prices'!$I$14</f>
        <v>110</v>
      </c>
      <c r="E22" s="142">
        <f>'Raw Forging Prices'!$I$14</f>
        <v>110</v>
      </c>
      <c r="F22" s="142">
        <f>'Raw Forging Prices'!$I$14</f>
        <v>110</v>
      </c>
      <c r="G22" s="142">
        <f>'Raw Forging Prices'!$I$14</f>
        <v>110</v>
      </c>
      <c r="H22" s="142">
        <f>'Raw Forging Prices'!$I$14</f>
        <v>110</v>
      </c>
      <c r="I22" s="142">
        <f>'Raw Forging Prices'!$I$14</f>
        <v>110</v>
      </c>
      <c r="J22" s="142">
        <f>'Raw Forging Prices'!$I$14</f>
        <v>110</v>
      </c>
      <c r="K22" s="142">
        <f>'Raw Forging Prices'!$I$14</f>
        <v>110</v>
      </c>
      <c r="L22" s="142">
        <f>'Raw Forging Prices'!$I$14</f>
        <v>110</v>
      </c>
      <c r="M22" s="142">
        <f>'Raw Forging Prices'!$I$14</f>
        <v>110</v>
      </c>
      <c r="N22" s="142">
        <f>'Raw Forging Prices'!$I$14</f>
        <v>110</v>
      </c>
      <c r="O22" s="142">
        <f>'Raw Forging Prices'!$I$14</f>
        <v>110</v>
      </c>
      <c r="P22" s="142">
        <f>'Raw Forging Prices'!$I$14</f>
        <v>110</v>
      </c>
      <c r="Q22" s="142">
        <f>'Raw Forging Prices'!$I$14</f>
        <v>110</v>
      </c>
      <c r="R22" s="142">
        <f>'Raw Forging Prices'!$I$14</f>
        <v>110</v>
      </c>
      <c r="S22" s="142">
        <f>'Raw Forging Prices'!$I$14</f>
        <v>110</v>
      </c>
    </row>
    <row r="23" spans="1:22" x14ac:dyDescent="0.35">
      <c r="A23" s="163" t="s">
        <v>16</v>
      </c>
      <c r="B23" s="163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</row>
    <row r="24" spans="1:22" ht="25" x14ac:dyDescent="0.35">
      <c r="A24" s="3" t="s">
        <v>17</v>
      </c>
      <c r="B24" s="4" t="s">
        <v>4</v>
      </c>
      <c r="C24" s="5" t="str">
        <f>'TECH DATA SHEET'!C24</f>
        <v>Profiled T/C-hub</v>
      </c>
      <c r="D24" s="5" t="str">
        <f>'TECH DATA SHEET'!D24</f>
        <v>Profiled T/C-hub</v>
      </c>
      <c r="E24" s="5" t="str">
        <f>'TECH DATA SHEET'!E24</f>
        <v>Profiled T/C-hub</v>
      </c>
      <c r="F24" s="5" t="str">
        <f>'TECH DATA SHEET'!F24</f>
        <v>Profiled T/C-hub</v>
      </c>
      <c r="G24" s="5" t="str">
        <f>'TECH DATA SHEET'!G24</f>
        <v>welded in solid hub</v>
      </c>
      <c r="H24" s="5" t="str">
        <f>'TECH DATA SHEET'!H24</f>
        <v>welded in solid hub</v>
      </c>
      <c r="I24" s="5" t="str">
        <f>'TECH DATA SHEET'!I24</f>
        <v>welded in solid hub</v>
      </c>
      <c r="J24" s="5" t="str">
        <f>'TECH DATA SHEET'!J24</f>
        <v>welded in solid hub</v>
      </c>
      <c r="K24" s="5" t="str">
        <f>'TECH DATA SHEET'!K24</f>
        <v>welded in solid hub</v>
      </c>
      <c r="L24" s="5" t="str">
        <f>'TECH DATA SHEET'!L24</f>
        <v>welded in solid hub</v>
      </c>
      <c r="M24" s="5" t="str">
        <f>'TECH DATA SHEET'!M24</f>
        <v>welded in solid hub</v>
      </c>
      <c r="N24" s="5" t="str">
        <f>'TECH DATA SHEET'!N24</f>
        <v>welded in solid hub</v>
      </c>
      <c r="O24" s="5" t="str">
        <f>'TECH DATA SHEET'!O24</f>
        <v>welded in welded hub</v>
      </c>
      <c r="P24" s="5" t="str">
        <f>'TECH DATA SHEET'!P24</f>
        <v>welded in solid hub</v>
      </c>
      <c r="Q24" s="5" t="str">
        <f>'TECH DATA SHEET'!Q24</f>
        <v>welded in solid hub</v>
      </c>
      <c r="R24" s="5" t="str">
        <f>'TECH DATA SHEET'!R24</f>
        <v>Profiled T/C-hub</v>
      </c>
      <c r="S24" s="5" t="str">
        <f>'TECH DATA SHEET'!S24</f>
        <v>Profiled T/C-hub</v>
      </c>
    </row>
    <row r="25" spans="1:22" x14ac:dyDescent="0.35">
      <c r="A25" s="3" t="s">
        <v>18</v>
      </c>
      <c r="B25" s="4" t="s">
        <v>11</v>
      </c>
      <c r="C25" s="5">
        <f>'TECH DATA SHEET'!C25+5</f>
        <v>129</v>
      </c>
      <c r="D25" s="5">
        <f>'TECH DATA SHEET'!D25</f>
        <v>124</v>
      </c>
      <c r="E25" s="5">
        <f>'TECH DATA SHEET'!E25</f>
        <v>124</v>
      </c>
      <c r="F25" s="5">
        <f>'TECH DATA SHEET'!F25</f>
        <v>124</v>
      </c>
      <c r="G25" s="5">
        <f>'TECH DATA SHEET'!G25</f>
        <v>90</v>
      </c>
      <c r="H25" s="5">
        <f>'TECH DATA SHEET'!H25</f>
        <v>90</v>
      </c>
      <c r="I25" s="5">
        <f>'TECH DATA SHEET'!I25</f>
        <v>90</v>
      </c>
      <c r="J25" s="5">
        <f>'TECH DATA SHEET'!J25</f>
        <v>90</v>
      </c>
      <c r="K25" s="5">
        <f>'TECH DATA SHEET'!K25</f>
        <v>90</v>
      </c>
      <c r="L25" s="5">
        <f>'TECH DATA SHEET'!L25</f>
        <v>78</v>
      </c>
      <c r="M25" s="5">
        <f>'TECH DATA SHEET'!M25</f>
        <v>78</v>
      </c>
      <c r="N25" s="5">
        <f>'TECH DATA SHEET'!N25</f>
        <v>78</v>
      </c>
      <c r="O25" s="5">
        <f>'TECH DATA SHEET'!O25</f>
        <v>78</v>
      </c>
      <c r="P25" s="5">
        <f>'TECH DATA SHEET'!P25</f>
        <v>78</v>
      </c>
      <c r="Q25" s="5">
        <f>'TECH DATA SHEET'!Q25</f>
        <v>90</v>
      </c>
      <c r="R25" s="5">
        <f>'TECH DATA SHEET'!R25</f>
        <v>127</v>
      </c>
      <c r="S25" s="5">
        <f>'TECH DATA SHEET'!S25</f>
        <v>124</v>
      </c>
    </row>
    <row r="26" spans="1:22" x14ac:dyDescent="0.35">
      <c r="A26" s="3" t="s">
        <v>19</v>
      </c>
      <c r="B26" s="4" t="s">
        <v>11</v>
      </c>
      <c r="C26" s="5">
        <f>'TECH DATA SHEET'!C26+10</f>
        <v>405</v>
      </c>
      <c r="D26" s="5">
        <f>'TECH DATA SHEET'!D26</f>
        <v>395</v>
      </c>
      <c r="E26" s="5">
        <f>'TECH DATA SHEET'!E26</f>
        <v>395</v>
      </c>
      <c r="F26" s="5">
        <f>'TECH DATA SHEET'!F26</f>
        <v>405</v>
      </c>
      <c r="G26" s="5">
        <f>'TECH DATA SHEET'!G26</f>
        <v>335</v>
      </c>
      <c r="H26" s="5">
        <f>'TECH DATA SHEET'!H26</f>
        <v>335</v>
      </c>
      <c r="I26" s="5">
        <f>'TECH DATA SHEET'!I26</f>
        <v>335</v>
      </c>
      <c r="J26" s="5">
        <f>'TECH DATA SHEET'!J26</f>
        <v>335</v>
      </c>
      <c r="K26" s="5">
        <f>'TECH DATA SHEET'!K26</f>
        <v>335</v>
      </c>
      <c r="L26" s="5">
        <f>'TECH DATA SHEET'!L26</f>
        <v>250</v>
      </c>
      <c r="M26" s="5">
        <f>'TECH DATA SHEET'!M26</f>
        <v>265</v>
      </c>
      <c r="N26" s="5">
        <f>'TECH DATA SHEET'!N26</f>
        <v>265</v>
      </c>
      <c r="O26" s="5">
        <f>'TECH DATA SHEET'!O26</f>
        <v>250</v>
      </c>
      <c r="P26" s="5">
        <f>'TECH DATA SHEET'!P26</f>
        <v>265</v>
      </c>
      <c r="Q26" s="5">
        <f>'TECH DATA SHEET'!Q26</f>
        <v>335</v>
      </c>
      <c r="R26" s="5">
        <f>'TECH DATA SHEET'!R26</f>
        <v>405</v>
      </c>
      <c r="S26" s="5">
        <f>'TECH DATA SHEET'!S26</f>
        <v>395</v>
      </c>
    </row>
    <row r="27" spans="1:22" x14ac:dyDescent="0.35">
      <c r="A27" s="3" t="s">
        <v>20</v>
      </c>
      <c r="B27" s="4" t="s">
        <v>11</v>
      </c>
      <c r="C27" s="5">
        <f>'TECH DATA SHEET'!C27-15</f>
        <v>225</v>
      </c>
      <c r="D27" s="5">
        <f>'TECH DATA SHEET'!D27</f>
        <v>240</v>
      </c>
      <c r="E27" s="5">
        <f>'TECH DATA SHEET'!E27</f>
        <v>240</v>
      </c>
      <c r="F27" s="5">
        <f>'TECH DATA SHEET'!F27</f>
        <v>250</v>
      </c>
      <c r="G27" s="5">
        <f>'TECH DATA SHEET'!G27</f>
        <v>200</v>
      </c>
      <c r="H27" s="5">
        <f>'TECH DATA SHEET'!H27</f>
        <v>200</v>
      </c>
      <c r="I27" s="5">
        <f>'TECH DATA SHEET'!I27</f>
        <v>200</v>
      </c>
      <c r="J27" s="5">
        <f>'TECH DATA SHEET'!J27</f>
        <v>200</v>
      </c>
      <c r="K27" s="5">
        <f>'TECH DATA SHEET'!K27</f>
        <v>200</v>
      </c>
      <c r="L27" s="5">
        <f>'TECH DATA SHEET'!L27</f>
        <v>150</v>
      </c>
      <c r="M27" s="5">
        <f>'TECH DATA SHEET'!M27</f>
        <v>170</v>
      </c>
      <c r="N27" s="5">
        <f>'TECH DATA SHEET'!N27</f>
        <v>170</v>
      </c>
      <c r="O27" s="5">
        <f>'TECH DATA SHEET'!O27</f>
        <v>150</v>
      </c>
      <c r="P27" s="5">
        <f>'TECH DATA SHEET'!P27</f>
        <v>170</v>
      </c>
      <c r="Q27" s="5">
        <f>'TECH DATA SHEET'!Q27</f>
        <v>200</v>
      </c>
      <c r="R27" s="5">
        <f>'TECH DATA SHEET'!R27</f>
        <v>250</v>
      </c>
      <c r="S27" s="5">
        <f>'TECH DATA SHEET'!S27</f>
        <v>240</v>
      </c>
    </row>
    <row r="28" spans="1:22" x14ac:dyDescent="0.35">
      <c r="A28" s="6" t="s">
        <v>21</v>
      </c>
      <c r="B28" s="4" t="s">
        <v>15</v>
      </c>
      <c r="C28" s="8">
        <f>2*PI()/4*((C26/1000)^2-(C27/1000)^2)*(C25/1000)*7850</f>
        <v>180.38162649729188</v>
      </c>
      <c r="D28" s="8">
        <f t="shared" ref="D28:L28" si="5">2*PI()/4*((D26/1000)^2-(D27/1000)^2)*(D25/1000)*7850</f>
        <v>150.49311874762438</v>
      </c>
      <c r="E28" s="8">
        <f t="shared" si="5"/>
        <v>150.49311874762438</v>
      </c>
      <c r="F28" s="8">
        <f t="shared" si="5"/>
        <v>155.23305949558107</v>
      </c>
      <c r="G28" s="8">
        <f t="shared" si="5"/>
        <v>80.152965262500942</v>
      </c>
      <c r="H28" s="8">
        <f t="shared" si="5"/>
        <v>80.152965262500942</v>
      </c>
      <c r="I28" s="8">
        <f t="shared" si="5"/>
        <v>80.152965262500942</v>
      </c>
      <c r="J28" s="8">
        <f t="shared" si="5"/>
        <v>80.152965262500942</v>
      </c>
      <c r="K28" s="8">
        <f t="shared" si="5"/>
        <v>80.152965262500942</v>
      </c>
      <c r="L28" s="8">
        <f t="shared" si="5"/>
        <v>38.471943635860612</v>
      </c>
      <c r="M28" s="8">
        <f t="shared" ref="M28:S28" si="6">2*PI()/4*((M26/1000)^2-(M27/1000)^2)*(M25/1000)*7850</f>
        <v>39.746326768798497</v>
      </c>
      <c r="N28" s="8">
        <f t="shared" si="6"/>
        <v>39.746326768798497</v>
      </c>
      <c r="O28" s="8">
        <f t="shared" si="6"/>
        <v>38.471943635860612</v>
      </c>
      <c r="P28" s="8">
        <f t="shared" si="6"/>
        <v>39.746326768798497</v>
      </c>
      <c r="Q28" s="8">
        <f t="shared" si="6"/>
        <v>80.152965262500942</v>
      </c>
      <c r="R28" s="8">
        <f t="shared" si="6"/>
        <v>158.98869803176447</v>
      </c>
      <c r="S28" s="8">
        <f t="shared" si="6"/>
        <v>150.49311874762438</v>
      </c>
    </row>
    <row r="29" spans="1:22" x14ac:dyDescent="0.35">
      <c r="A29" s="140" t="s">
        <v>666</v>
      </c>
      <c r="B29" s="4" t="s">
        <v>37</v>
      </c>
      <c r="C29" s="142">
        <f>'Raw Forging Prices'!$J$14</f>
        <v>210</v>
      </c>
      <c r="D29" s="142">
        <f>'Raw Forging Prices'!$J$14</f>
        <v>210</v>
      </c>
      <c r="E29" s="142">
        <f>'Raw Forging Prices'!$J$14</f>
        <v>210</v>
      </c>
      <c r="F29" s="142">
        <f>'Raw Forging Prices'!$J$14</f>
        <v>210</v>
      </c>
      <c r="G29" s="142">
        <f>'Raw Forging Prices'!$J$14</f>
        <v>210</v>
      </c>
      <c r="H29" s="142">
        <f>'Raw Forging Prices'!$J$14</f>
        <v>210</v>
      </c>
      <c r="I29" s="142">
        <f>'Raw Forging Prices'!$J$14</f>
        <v>210</v>
      </c>
      <c r="J29" s="142">
        <f>'Raw Forging Prices'!$J$14</f>
        <v>210</v>
      </c>
      <c r="K29" s="142">
        <f>'Raw Forging Prices'!$J$14</f>
        <v>210</v>
      </c>
      <c r="L29" s="142">
        <f>'Raw Forging Prices'!$J$14</f>
        <v>210</v>
      </c>
      <c r="M29" s="142">
        <f>'Raw Forging Prices'!$J$14</f>
        <v>210</v>
      </c>
      <c r="N29" s="142">
        <f>'Raw Forging Prices'!$J$14</f>
        <v>210</v>
      </c>
      <c r="O29" s="142">
        <f>'Raw Forging Prices'!$J$14</f>
        <v>210</v>
      </c>
      <c r="P29" s="142">
        <f>'Raw Forging Prices'!$J$14</f>
        <v>210</v>
      </c>
      <c r="Q29" s="142">
        <f>'Raw Forging Prices'!$J$14</f>
        <v>210</v>
      </c>
      <c r="R29" s="142">
        <f>'Raw Forging Prices'!$J$14</f>
        <v>210</v>
      </c>
      <c r="S29" s="142">
        <f>'Raw Forging Prices'!$J$14</f>
        <v>210</v>
      </c>
    </row>
    <row r="30" spans="1:22" x14ac:dyDescent="0.35">
      <c r="A30" s="163" t="s">
        <v>22</v>
      </c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</row>
    <row r="31" spans="1:22" x14ac:dyDescent="0.35">
      <c r="A31" s="3" t="s">
        <v>23</v>
      </c>
      <c r="B31" s="4" t="s">
        <v>11</v>
      </c>
      <c r="C31" s="157">
        <f>'TECH DATA SHEET'!C31</f>
        <v>1820</v>
      </c>
      <c r="D31" s="157">
        <f>'TECH DATA SHEET'!D31</f>
        <v>1699</v>
      </c>
      <c r="E31" s="157">
        <f>'TECH DATA SHEET'!E31</f>
        <v>1695</v>
      </c>
      <c r="F31" s="157">
        <f>'TECH DATA SHEET'!F31</f>
        <v>1713</v>
      </c>
      <c r="G31" s="157">
        <f>'TECH DATA SHEET'!G31</f>
        <v>1803</v>
      </c>
      <c r="H31" s="157">
        <f>'TECH DATA SHEET'!H31</f>
        <v>2093</v>
      </c>
      <c r="I31" s="157">
        <f>'TECH DATA SHEET'!I31</f>
        <v>1803</v>
      </c>
      <c r="J31" s="157">
        <f>'TECH DATA SHEET'!J31</f>
        <v>2093</v>
      </c>
      <c r="K31" s="157">
        <f>'TECH DATA SHEET'!K31</f>
        <v>1803</v>
      </c>
      <c r="L31" s="157">
        <f>'TECH DATA SHEET'!L31</f>
        <v>1710</v>
      </c>
      <c r="M31" s="157">
        <f>'TECH DATA SHEET'!M31</f>
        <v>1748</v>
      </c>
      <c r="N31" s="157">
        <f>'TECH DATA SHEET'!N31</f>
        <v>1869</v>
      </c>
      <c r="O31" s="157">
        <f>'TECH DATA SHEET'!O31</f>
        <v>1510</v>
      </c>
      <c r="P31" s="157">
        <f>'TECH DATA SHEET'!P31</f>
        <v>1548</v>
      </c>
      <c r="Q31" s="157">
        <f>'TECH DATA SHEET'!Q31</f>
        <v>1603</v>
      </c>
      <c r="R31" s="157">
        <f>'TECH DATA SHEET'!R31</f>
        <v>1653</v>
      </c>
      <c r="S31" s="157">
        <f>'TECH DATA SHEET'!S31</f>
        <v>1885</v>
      </c>
    </row>
    <row r="32" spans="1:22" x14ac:dyDescent="0.35">
      <c r="A32" s="3" t="s">
        <v>24</v>
      </c>
      <c r="B32" s="4" t="s">
        <v>11</v>
      </c>
      <c r="C32" s="157">
        <f>'TECH DATA SHEET'!C32</f>
        <v>178</v>
      </c>
      <c r="D32" s="157">
        <f>'TECH DATA SHEET'!D32</f>
        <v>178</v>
      </c>
      <c r="E32" s="157">
        <f>'TECH DATA SHEET'!E32</f>
        <v>178</v>
      </c>
      <c r="F32" s="157">
        <f>'TECH DATA SHEET'!F32</f>
        <v>188</v>
      </c>
      <c r="G32" s="157">
        <f>'TECH DATA SHEET'!G32</f>
        <v>148</v>
      </c>
      <c r="H32" s="157">
        <f>'TECH DATA SHEET'!H32</f>
        <v>158</v>
      </c>
      <c r="I32" s="157">
        <f>'TECH DATA SHEET'!I32</f>
        <v>148</v>
      </c>
      <c r="J32" s="157">
        <f>'TECH DATA SHEET'!J32</f>
        <v>158</v>
      </c>
      <c r="K32" s="157">
        <f>'TECH DATA SHEET'!K32</f>
        <v>148</v>
      </c>
      <c r="L32" s="157">
        <f>'TECH DATA SHEET'!L32</f>
        <v>118</v>
      </c>
      <c r="M32" s="157">
        <f>'TECH DATA SHEET'!M32</f>
        <v>138</v>
      </c>
      <c r="N32" s="157">
        <f>'TECH DATA SHEET'!N32</f>
        <v>158</v>
      </c>
      <c r="O32" s="157">
        <f>'TECH DATA SHEET'!O32</f>
        <v>118</v>
      </c>
      <c r="P32" s="157">
        <f>'TECH DATA SHEET'!P32</f>
        <v>128</v>
      </c>
      <c r="Q32" s="157">
        <f>'TECH DATA SHEET'!Q32</f>
        <v>148</v>
      </c>
      <c r="R32" s="157">
        <f>'TECH DATA SHEET'!R32</f>
        <v>188</v>
      </c>
      <c r="S32" s="157">
        <f>'TECH DATA SHEET'!S32</f>
        <v>178</v>
      </c>
    </row>
    <row r="33" spans="1:19" x14ac:dyDescent="0.35">
      <c r="A33" s="3" t="s">
        <v>25</v>
      </c>
      <c r="B33" s="4" t="s">
        <v>4</v>
      </c>
      <c r="C33" s="157" t="str">
        <f>'TECH DATA SHEET'!C33</f>
        <v>42CrMo4+QT</v>
      </c>
      <c r="D33" s="157" t="str">
        <f>'TECH DATA SHEET'!D33</f>
        <v>42CrMo4+QT</v>
      </c>
      <c r="E33" s="157" t="str">
        <f>'TECH DATA SHEET'!E33</f>
        <v>42CrMo4+QT</v>
      </c>
      <c r="F33" s="157" t="str">
        <f>'TECH DATA SHEET'!F33</f>
        <v>42CrMo4+QT</v>
      </c>
      <c r="G33" s="157" t="str">
        <f>'TECH DATA SHEET'!G33</f>
        <v>42CrMo4+QT</v>
      </c>
      <c r="H33" s="157" t="str">
        <f>'TECH DATA SHEET'!H33</f>
        <v>42CrMo4+QT</v>
      </c>
      <c r="I33" s="157" t="str">
        <f>'TECH DATA SHEET'!I33</f>
        <v>42CrMo4+QT</v>
      </c>
      <c r="J33" s="157" t="str">
        <f>'TECH DATA SHEET'!J33</f>
        <v>42CrMo4+QT</v>
      </c>
      <c r="K33" s="157" t="str">
        <f>'TECH DATA SHEET'!K33</f>
        <v>42CrMo4+QT</v>
      </c>
      <c r="L33" s="157" t="str">
        <f>'TECH DATA SHEET'!L33</f>
        <v>42CrMo4+QT</v>
      </c>
      <c r="M33" s="157" t="str">
        <f>'TECH DATA SHEET'!M33</f>
        <v>42CrMo4+QT</v>
      </c>
      <c r="N33" s="157" t="str">
        <f>'TECH DATA SHEET'!N33</f>
        <v>42CrMo4+QT</v>
      </c>
      <c r="O33" s="157" t="str">
        <f>'TECH DATA SHEET'!O33</f>
        <v>42CrMo4+QT</v>
      </c>
      <c r="P33" s="157" t="str">
        <f>'TECH DATA SHEET'!P33</f>
        <v>42CrMo4+QT</v>
      </c>
      <c r="Q33" s="157" t="str">
        <f>'TECH DATA SHEET'!Q33</f>
        <v>42CrMo4+QT</v>
      </c>
      <c r="R33" s="157" t="str">
        <f>'TECH DATA SHEET'!R33</f>
        <v>42CrMo4+QT</v>
      </c>
      <c r="S33" s="157" t="str">
        <f>'TECH DATA SHEET'!S33</f>
        <v>42CrMo4+QT</v>
      </c>
    </row>
    <row r="34" spans="1:19" x14ac:dyDescent="0.35">
      <c r="A34" s="6" t="s">
        <v>26</v>
      </c>
      <c r="B34" s="7" t="s">
        <v>15</v>
      </c>
      <c r="C34" s="8">
        <f t="shared" ref="C34:G34" si="7">PI()/4*(C32/1000)^2*C31/1000*7850</f>
        <v>355.52564312959379</v>
      </c>
      <c r="D34" s="8">
        <f t="shared" si="7"/>
        <v>331.88904817427465</v>
      </c>
      <c r="E34" s="8">
        <f t="shared" si="7"/>
        <v>331.10767313442938</v>
      </c>
      <c r="F34" s="8">
        <f t="shared" si="7"/>
        <v>373.27817625932903</v>
      </c>
      <c r="G34" s="8">
        <f t="shared" si="7"/>
        <v>243.4886353333338</v>
      </c>
      <c r="H34" s="8">
        <f t="shared" ref="H34:L34" si="8">PI()/4*(H32/1000)^2*H31/1000*7850</f>
        <v>322.13872864380312</v>
      </c>
      <c r="I34" s="8">
        <f t="shared" si="8"/>
        <v>243.4886353333338</v>
      </c>
      <c r="J34" s="8">
        <f t="shared" si="8"/>
        <v>322.13872864380312</v>
      </c>
      <c r="K34" s="8">
        <f t="shared" si="8"/>
        <v>243.4886353333338</v>
      </c>
      <c r="L34" s="8">
        <f t="shared" si="8"/>
        <v>146.79783923839523</v>
      </c>
      <c r="M34" s="8">
        <f t="shared" ref="M34:S34" si="9">PI()/4*(M32/1000)^2*M31/1000*7850</f>
        <v>205.23864521844934</v>
      </c>
      <c r="N34" s="8">
        <f t="shared" si="9"/>
        <v>287.66234296954991</v>
      </c>
      <c r="O34" s="8">
        <f t="shared" si="9"/>
        <v>129.62850131577594</v>
      </c>
      <c r="P34" s="8">
        <f t="shared" si="9"/>
        <v>156.36891896992745</v>
      </c>
      <c r="Q34" s="8">
        <f t="shared" si="9"/>
        <v>216.47935798077319</v>
      </c>
      <c r="R34" s="8">
        <f t="shared" si="9"/>
        <v>360.20363418369584</v>
      </c>
      <c r="S34" s="8">
        <f t="shared" si="9"/>
        <v>368.22298752707928</v>
      </c>
    </row>
    <row r="35" spans="1:19" x14ac:dyDescent="0.35">
      <c r="A35" s="140" t="s">
        <v>667</v>
      </c>
      <c r="B35" s="7" t="s">
        <v>15</v>
      </c>
      <c r="C35" s="142">
        <f>IF(C33='Raw Forging Prices'!$B$4,'Raw Forging Prices'!$F$4,'Raw Forging Prices'!$F$3)</f>
        <v>330</v>
      </c>
      <c r="D35" s="142">
        <f>IF(D33='Raw Forging Prices'!$B$4,'Raw Forging Prices'!$F$4,'Raw Forging Prices'!$F$3)</f>
        <v>330</v>
      </c>
      <c r="E35" s="142">
        <f>IF(E33='Raw Forging Prices'!$B$4,'Raw Forging Prices'!$F$4,'Raw Forging Prices'!$F$3)</f>
        <v>330</v>
      </c>
      <c r="F35" s="142">
        <f>IF(F33='Raw Forging Prices'!$B$4,'Raw Forging Prices'!$F$4,'Raw Forging Prices'!$F$3)</f>
        <v>330</v>
      </c>
      <c r="G35" s="142">
        <f>IF(G33='Raw Forging Prices'!$B$4,'Raw Forging Prices'!$F$4,'Raw Forging Prices'!$F$3)</f>
        <v>330</v>
      </c>
      <c r="H35" s="142">
        <f>IF(H33='Raw Forging Prices'!$B$4,'Raw Forging Prices'!$F$4,'Raw Forging Prices'!$F$3)</f>
        <v>330</v>
      </c>
      <c r="I35" s="142">
        <f>IF(I33='Raw Forging Prices'!$B$4,'Raw Forging Prices'!$F$4,'Raw Forging Prices'!$F$3)</f>
        <v>330</v>
      </c>
      <c r="J35" s="142">
        <f>IF(J33='Raw Forging Prices'!$B$4,'Raw Forging Prices'!$F$4,'Raw Forging Prices'!$F$3)</f>
        <v>330</v>
      </c>
      <c r="K35" s="142">
        <f>IF(K33='Raw Forging Prices'!$B$4,'Raw Forging Prices'!$F$4,'Raw Forging Prices'!$F$3)</f>
        <v>330</v>
      </c>
      <c r="L35" s="142">
        <f>IF(L33='Raw Forging Prices'!$B$4,'Raw Forging Prices'!$F$4,'Raw Forging Prices'!$F$3)</f>
        <v>330</v>
      </c>
      <c r="M35" s="142">
        <f>IF(M33='Raw Forging Prices'!$B$4,'Raw Forging Prices'!$F$4,'Raw Forging Prices'!$F$3)</f>
        <v>330</v>
      </c>
      <c r="N35" s="142">
        <f>IF(N33='Raw Forging Prices'!$B$4,'Raw Forging Prices'!$F$4,'Raw Forging Prices'!$F$3)</f>
        <v>330</v>
      </c>
      <c r="O35" s="142">
        <f>IF(O33='Raw Forging Prices'!$B$4,'Raw Forging Prices'!$F$4,'Raw Forging Prices'!$F$3)</f>
        <v>330</v>
      </c>
      <c r="P35" s="142">
        <f>IF(P33='Raw Forging Prices'!$B$4,'Raw Forging Prices'!$F$4,'Raw Forging Prices'!$F$3)</f>
        <v>330</v>
      </c>
      <c r="Q35" s="142">
        <f>IF(Q33='Raw Forging Prices'!$B$4,'Raw Forging Prices'!$F$4,'Raw Forging Prices'!$F$3)</f>
        <v>330</v>
      </c>
      <c r="R35" s="142">
        <f>IF(R33='Raw Forging Prices'!$B$4,'Raw Forging Prices'!$F$4,'Raw Forging Prices'!$F$3)</f>
        <v>330</v>
      </c>
      <c r="S35" s="142">
        <f>IF(S33='Raw Forging Prices'!$B$4,'Raw Forging Prices'!$F$4,'Raw Forging Prices'!$F$3)</f>
        <v>330</v>
      </c>
    </row>
    <row r="36" spans="1:19" ht="21.75" customHeight="1" x14ac:dyDescent="0.35">
      <c r="A36" s="163" t="s">
        <v>27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</row>
    <row r="37" spans="1:19" ht="26" customHeight="1" x14ac:dyDescent="0.35">
      <c r="A37" s="3" t="s">
        <v>28</v>
      </c>
      <c r="B37" s="4" t="s">
        <v>4</v>
      </c>
      <c r="C37" s="5" t="str">
        <f>'TECH DATA SHEET'!C37</f>
        <v>22232 CCK/W33</v>
      </c>
      <c r="D37" s="5" t="str">
        <f>'TECH DATA SHEET'!D37</f>
        <v>22234 CCK/W33</v>
      </c>
      <c r="E37" s="5" t="str">
        <f>'TECH DATA SHEET'!E37</f>
        <v>22232 CCK/W33</v>
      </c>
      <c r="F37" s="5" t="str">
        <f>'TECH DATA SHEET'!F37</f>
        <v>22236 CCK/W33</v>
      </c>
      <c r="G37" s="5" t="str">
        <f>'TECH DATA SHEET'!G37</f>
        <v>22228 CCK/W33</v>
      </c>
      <c r="H37" s="5" t="str">
        <f>'TECH DATA SHEET'!H37</f>
        <v>22228 CCK/W33</v>
      </c>
      <c r="I37" s="5" t="str">
        <f>'TECH DATA SHEET'!I37</f>
        <v>22228 CCK/W33</v>
      </c>
      <c r="J37" s="5" t="str">
        <f>'TECH DATA SHEET'!J37</f>
        <v>22228 CCK/W33</v>
      </c>
      <c r="K37" s="5" t="str">
        <f>'TECH DATA SHEET'!K37</f>
        <v>22228 CCK/W33</v>
      </c>
      <c r="L37" s="5" t="str">
        <f>'TECH DATA SHEET'!L37</f>
        <v>22218 EK</v>
      </c>
      <c r="M37" s="5" t="str">
        <f>'TECH DATA SHEET'!M37</f>
        <v>22222 EK</v>
      </c>
      <c r="N37" s="5" t="str">
        <f>'TECH DATA SHEET'!N37</f>
        <v>22228 CCK/W33</v>
      </c>
      <c r="O37" s="5" t="str">
        <f>'TECH DATA SHEET'!O37</f>
        <v>22218 EK</v>
      </c>
      <c r="P37" s="5" t="str">
        <f>'TECH DATA SHEET'!P37</f>
        <v>22222 EK</v>
      </c>
      <c r="Q37" s="5" t="str">
        <f>'TECH DATA SHEET'!Q37</f>
        <v>22228 CCK/W33</v>
      </c>
      <c r="R37" s="5" t="str">
        <f>'TECH DATA SHEET'!R37</f>
        <v>23136 CCK/W33</v>
      </c>
      <c r="S37" s="5" t="str">
        <f>'TECH DATA SHEET'!S37</f>
        <v>22232 CCK/W33</v>
      </c>
    </row>
    <row r="38" spans="1:19" x14ac:dyDescent="0.35">
      <c r="A38" s="3" t="s">
        <v>36</v>
      </c>
      <c r="B38" s="4" t="s">
        <v>37</v>
      </c>
      <c r="C38" s="5">
        <f>IFERROR(VLOOKUP(C37,BRG_DATA!$A:$C,3,0),0)</f>
        <v>30000</v>
      </c>
      <c r="D38" s="5">
        <f>IFERROR(VLOOKUP(D37,BRG_DATA!$A:$C,3,0),0)</f>
        <v>34000</v>
      </c>
      <c r="E38" s="5">
        <f>IFERROR(VLOOKUP(E37,BRG_DATA!$A:$C,3,0),0)</f>
        <v>30000</v>
      </c>
      <c r="F38" s="5">
        <f>IFERROR(VLOOKUP(F37,BRG_DATA!$A:$C,3,0),0)</f>
        <v>50322</v>
      </c>
      <c r="G38" s="5">
        <f>IFERROR(VLOOKUP(G37,BRG_DATA!$A:$C,3,0),0)</f>
        <v>23593</v>
      </c>
      <c r="H38" s="5">
        <f>IFERROR(VLOOKUP(H37,BRG_DATA!$A:$C,3,0),0)</f>
        <v>23593</v>
      </c>
      <c r="I38" s="5">
        <f>IFERROR(VLOOKUP(I37,BRG_DATA!$A:$C,3,0),0)</f>
        <v>23593</v>
      </c>
      <c r="J38" s="5">
        <f>IFERROR(VLOOKUP(J37,BRG_DATA!$A:$C,3,0),0)</f>
        <v>23593</v>
      </c>
      <c r="K38" s="5">
        <f>IFERROR(VLOOKUP(K37,BRG_DATA!$A:$C,3,0),0)</f>
        <v>23593</v>
      </c>
      <c r="L38" s="5">
        <f>IFERROR(VLOOKUP(L37,BRG_DATA!$A:$C,3,0),0)</f>
        <v>10234</v>
      </c>
      <c r="M38" s="5">
        <f>IFERROR(VLOOKUP(M37,BRG_DATA!$A:$C,3,0),0)</f>
        <v>7356</v>
      </c>
      <c r="N38" s="5">
        <f>IFERROR(VLOOKUP(N37,BRG_DATA!$A:$C,3,0),0)</f>
        <v>23593</v>
      </c>
      <c r="O38" s="5">
        <f>IFERROR(VLOOKUP(O37,BRG_DATA!$A:$C,3,0),0)</f>
        <v>10234</v>
      </c>
      <c r="P38" s="5">
        <f>IFERROR(VLOOKUP(P37,BRG_DATA!$A:$C,3,0),0)</f>
        <v>7356</v>
      </c>
      <c r="Q38" s="5">
        <f>IFERROR(VLOOKUP(Q37,BRG_DATA!$A:$C,3,0),0)</f>
        <v>23593</v>
      </c>
      <c r="R38" s="5">
        <f>IFERROR(VLOOKUP(R37,BRG_DATA!$A:$C,3,0),0)</f>
        <v>64900</v>
      </c>
      <c r="S38" s="5">
        <f>IFERROR(VLOOKUP(S37,BRG_DATA!$A:$C,3,0),0)</f>
        <v>30000</v>
      </c>
    </row>
    <row r="39" spans="1:19" ht="26" customHeight="1" x14ac:dyDescent="0.35">
      <c r="A39" s="3" t="s">
        <v>38</v>
      </c>
      <c r="B39" s="4" t="s">
        <v>4</v>
      </c>
      <c r="C39" s="5" t="str">
        <f>'TECH DATA SHEET'!C39</f>
        <v>22232 CCK/W33</v>
      </c>
      <c r="D39" s="5" t="str">
        <f>'TECH DATA SHEET'!D39</f>
        <v>22234 CCK/W33</v>
      </c>
      <c r="E39" s="5" t="str">
        <f>'TECH DATA SHEET'!E39</f>
        <v>22232 CCK/W33</v>
      </c>
      <c r="F39" s="5" t="str">
        <f>'TECH DATA SHEET'!F39</f>
        <v>22236 CCK/W33</v>
      </c>
      <c r="G39" s="5" t="str">
        <f>'TECH DATA SHEET'!G39</f>
        <v>22228 CCK/W33</v>
      </c>
      <c r="H39" s="5" t="str">
        <f>'TECH DATA SHEET'!H39</f>
        <v>22228 CCK/W33</v>
      </c>
      <c r="I39" s="5" t="str">
        <f>'TECH DATA SHEET'!I39</f>
        <v>22228 CCK/W33</v>
      </c>
      <c r="J39" s="5" t="str">
        <f>'TECH DATA SHEET'!J39</f>
        <v>22228 CCK/W33</v>
      </c>
      <c r="K39" s="5" t="str">
        <f>'TECH DATA SHEET'!K39</f>
        <v>22228 CCK/W33</v>
      </c>
      <c r="L39" s="5" t="str">
        <f>'TECH DATA SHEET'!L39</f>
        <v>22218 EK</v>
      </c>
      <c r="M39" s="5" t="str">
        <f>'TECH DATA SHEET'!M39</f>
        <v>22222 EK</v>
      </c>
      <c r="N39" s="5" t="str">
        <f>'TECH DATA SHEET'!N39</f>
        <v>22228 CCK/W33</v>
      </c>
      <c r="O39" s="5" t="str">
        <f>'TECH DATA SHEET'!O39</f>
        <v>22218 EK</v>
      </c>
      <c r="P39" s="5" t="str">
        <f>'TECH DATA SHEET'!P39</f>
        <v>22222 EK</v>
      </c>
      <c r="Q39" s="5" t="str">
        <f>'TECH DATA SHEET'!Q39</f>
        <v>22228 CCK/W33</v>
      </c>
      <c r="R39" s="5" t="str">
        <f>'TECH DATA SHEET'!R39</f>
        <v>23136 CCK/W33</v>
      </c>
      <c r="S39" s="5" t="str">
        <f>'TECH DATA SHEET'!S39</f>
        <v>22232 CCK/W33</v>
      </c>
    </row>
    <row r="40" spans="1:19" x14ac:dyDescent="0.35">
      <c r="A40" s="3" t="s">
        <v>39</v>
      </c>
      <c r="B40" s="4" t="s">
        <v>37</v>
      </c>
      <c r="C40" s="5">
        <f>IFERROR(VLOOKUP(C39,BRG_DATA!$A:$C,3,0),0)</f>
        <v>30000</v>
      </c>
      <c r="D40" s="5">
        <f>IFERROR(VLOOKUP(D39,BRG_DATA!$A:$C,3,0),0)</f>
        <v>34000</v>
      </c>
      <c r="E40" s="5">
        <f>IFERROR(VLOOKUP(E39,BRG_DATA!$A:$C,3,0),0)</f>
        <v>30000</v>
      </c>
      <c r="F40" s="5">
        <f>IFERROR(VLOOKUP(F39,BRG_DATA!$A:$C,3,0),0)</f>
        <v>50322</v>
      </c>
      <c r="G40" s="5">
        <f>IFERROR(VLOOKUP(G39,BRG_DATA!$A:$C,3,0),0)</f>
        <v>23593</v>
      </c>
      <c r="H40" s="5">
        <f>IFERROR(VLOOKUP(H39,BRG_DATA!$A:$C,3,0),0)</f>
        <v>23593</v>
      </c>
      <c r="I40" s="5">
        <f>IFERROR(VLOOKUP(I39,BRG_DATA!$A:$C,3,0),0)</f>
        <v>23593</v>
      </c>
      <c r="J40" s="5">
        <f>IFERROR(VLOOKUP(J39,BRG_DATA!$A:$C,3,0),0)</f>
        <v>23593</v>
      </c>
      <c r="K40" s="5">
        <f>IFERROR(VLOOKUP(K39,BRG_DATA!$A:$C,3,0),0)</f>
        <v>23593</v>
      </c>
      <c r="L40" s="5">
        <f>IFERROR(VLOOKUP(L39,BRG_DATA!$A:$C,3,0),0)</f>
        <v>10234</v>
      </c>
      <c r="M40" s="5">
        <f>IFERROR(VLOOKUP(M39,BRG_DATA!$A:$C,3,0),0)</f>
        <v>7356</v>
      </c>
      <c r="N40" s="5">
        <f>IFERROR(VLOOKUP(N39,BRG_DATA!$A:$C,3,0),0)</f>
        <v>23593</v>
      </c>
      <c r="O40" s="5">
        <f>IFERROR(VLOOKUP(O39,BRG_DATA!$A:$C,3,0),0)</f>
        <v>10234</v>
      </c>
      <c r="P40" s="5">
        <f>IFERROR(VLOOKUP(P39,BRG_DATA!$A:$C,3,0),0)</f>
        <v>7356</v>
      </c>
      <c r="Q40" s="5">
        <f>IFERROR(VLOOKUP(Q39,BRG_DATA!$A:$C,3,0),0)</f>
        <v>23593</v>
      </c>
      <c r="R40" s="5">
        <f>IFERROR(VLOOKUP(R39,BRG_DATA!$A:$C,3,0),0)</f>
        <v>64900</v>
      </c>
      <c r="S40" s="5">
        <f>IFERROR(VLOOKUP(S39,BRG_DATA!$A:$C,3,0),0)</f>
        <v>30000</v>
      </c>
    </row>
    <row r="41" spans="1:19" x14ac:dyDescent="0.35">
      <c r="A41" s="3" t="s">
        <v>40</v>
      </c>
      <c r="B41" s="4" t="s">
        <v>4</v>
      </c>
      <c r="C41" s="5" t="str">
        <f>'TECH DATA SHEET'!C41</f>
        <v>H 3132</v>
      </c>
      <c r="D41" s="5" t="str">
        <f>'TECH DATA SHEET'!D41</f>
        <v>H 3134</v>
      </c>
      <c r="E41" s="5" t="str">
        <f>'TECH DATA SHEET'!E41</f>
        <v>H 3132</v>
      </c>
      <c r="F41" s="5" t="str">
        <f>'TECH DATA SHEET'!F41</f>
        <v>H 3136</v>
      </c>
      <c r="G41" s="5" t="str">
        <f>'TECH DATA SHEET'!G41</f>
        <v>H 3128</v>
      </c>
      <c r="H41" s="5" t="str">
        <f>'TECH DATA SHEET'!H41</f>
        <v>H 3128</v>
      </c>
      <c r="I41" s="5" t="str">
        <f>'TECH DATA SHEET'!I41</f>
        <v>H 3128</v>
      </c>
      <c r="J41" s="5" t="str">
        <f>'TECH DATA SHEET'!J41</f>
        <v>H 3128</v>
      </c>
      <c r="K41" s="5" t="str">
        <f>'TECH DATA SHEET'!K41</f>
        <v>H 3128</v>
      </c>
      <c r="L41" s="5" t="str">
        <f>'TECH DATA SHEET'!L41</f>
        <v>H 318</v>
      </c>
      <c r="M41" s="5" t="str">
        <f>'TECH DATA SHEET'!M41</f>
        <v>H 322</v>
      </c>
      <c r="N41" s="5" t="str">
        <f>'TECH DATA SHEET'!N41</f>
        <v>H 3128</v>
      </c>
      <c r="O41" s="5" t="str">
        <f>'TECH DATA SHEET'!O41</f>
        <v>H 318</v>
      </c>
      <c r="P41" s="5" t="str">
        <f>'TECH DATA SHEET'!P41</f>
        <v>H 322</v>
      </c>
      <c r="Q41" s="5" t="str">
        <f>'TECH DATA SHEET'!Q41</f>
        <v>H 3128</v>
      </c>
      <c r="R41" s="5" t="str">
        <f>'TECH DATA SHEET'!R41</f>
        <v>H 3136</v>
      </c>
      <c r="S41" s="5" t="str">
        <f>'TECH DATA SHEET'!S41</f>
        <v>H 3132</v>
      </c>
    </row>
    <row r="42" spans="1:19" x14ac:dyDescent="0.35">
      <c r="A42" s="3" t="s">
        <v>48</v>
      </c>
      <c r="B42" s="4" t="s">
        <v>37</v>
      </c>
      <c r="C42" s="5">
        <f>IFERROR(VLOOKUP(C37,SL_DATA!$A:$D,4,0),0)</f>
        <v>5000</v>
      </c>
      <c r="D42" s="5">
        <f>IFERROR(VLOOKUP(D37,SL_DATA!$A:$D,4,0),0)</f>
        <v>5000</v>
      </c>
      <c r="E42" s="5">
        <f>IFERROR(VLOOKUP(E37,SL_DATA!$A:$D,4,0),0)</f>
        <v>5000</v>
      </c>
      <c r="F42" s="5">
        <f>IFERROR(VLOOKUP(F37,SL_DATA!$A:$D,4,0),0)</f>
        <v>13814</v>
      </c>
      <c r="G42" s="5">
        <f>IFERROR(VLOOKUP(G37,SL_DATA!$A:$D,4,0),0)</f>
        <v>5816</v>
      </c>
      <c r="H42" s="5">
        <f>IFERROR(VLOOKUP(H37,SL_DATA!$A:$D,4,0),0)</f>
        <v>5816</v>
      </c>
      <c r="I42" s="5">
        <f>IFERROR(VLOOKUP(I37,SL_DATA!$A:$D,4,0),0)</f>
        <v>5816</v>
      </c>
      <c r="J42" s="5">
        <f>IFERROR(VLOOKUP(J37,SL_DATA!$A:$D,4,0),0)</f>
        <v>5816</v>
      </c>
      <c r="K42" s="5">
        <f>IFERROR(VLOOKUP(K37,SL_DATA!$A:$D,4,0),0)</f>
        <v>5816</v>
      </c>
      <c r="L42" s="5">
        <f>IFERROR(VLOOKUP(L37,SL_DATA!$A:$D,4,0),0)</f>
        <v>1430</v>
      </c>
      <c r="M42" s="5">
        <f>IFERROR(VLOOKUP(M37,SL_DATA!$A:$D,4,0),0)</f>
        <v>1464</v>
      </c>
      <c r="N42" s="5">
        <f>IFERROR(VLOOKUP(N37,SL_DATA!$A:$D,4,0),0)</f>
        <v>5816</v>
      </c>
      <c r="O42" s="5">
        <f>IFERROR(VLOOKUP(O37,SL_DATA!$A:$D,4,0),0)</f>
        <v>1430</v>
      </c>
      <c r="P42" s="5">
        <f>IFERROR(VLOOKUP(P37,SL_DATA!$A:$D,4,0),0)</f>
        <v>1464</v>
      </c>
      <c r="Q42" s="5">
        <f>IFERROR(VLOOKUP(Q37,SL_DATA!$A:$D,4,0),0)</f>
        <v>5816</v>
      </c>
      <c r="R42" s="5">
        <f>IFERROR(VLOOKUP(R37,SL_DATA!$A:$D,4,0),0)</f>
        <v>13814</v>
      </c>
      <c r="S42" s="5">
        <f>IFERROR(VLOOKUP(S37,SL_DATA!$A:$D,4,0),0)</f>
        <v>5000</v>
      </c>
    </row>
    <row r="43" spans="1:19" x14ac:dyDescent="0.35">
      <c r="A43" s="3" t="s">
        <v>49</v>
      </c>
      <c r="B43" s="4" t="s">
        <v>4</v>
      </c>
      <c r="C43" s="5" t="str">
        <f>'TECH DATA SHEET'!C43</f>
        <v>SNL 532</v>
      </c>
      <c r="D43" s="5" t="str">
        <f>'TECH DATA SHEET'!D43</f>
        <v>SNL 3234</v>
      </c>
      <c r="E43" s="5" t="str">
        <f>'TECH DATA SHEET'!E43</f>
        <v>SNL 532</v>
      </c>
      <c r="F43" s="5" t="str">
        <f>'TECH DATA SHEET'!F43</f>
        <v>SNL 3138</v>
      </c>
      <c r="G43" s="5" t="str">
        <f>'TECH DATA SHEET'!G43</f>
        <v>SNL 528</v>
      </c>
      <c r="H43" s="5" t="str">
        <f>'TECH DATA SHEET'!H43</f>
        <v>SNL 528</v>
      </c>
      <c r="I43" s="5" t="str">
        <f>'TECH DATA SHEET'!I43</f>
        <v>SNL 528</v>
      </c>
      <c r="J43" s="5" t="str">
        <f>'TECH DATA SHEET'!J43</f>
        <v>SNL 528</v>
      </c>
      <c r="K43" s="5" t="str">
        <f>'TECH DATA SHEET'!K43</f>
        <v>SNL 528</v>
      </c>
      <c r="L43" s="5" t="str">
        <f>'TECH DATA SHEET'!L43</f>
        <v>SNL 518-615</v>
      </c>
      <c r="M43" s="5" t="str">
        <f>'TECH DATA SHEET'!M43</f>
        <v>SNL 522-619</v>
      </c>
      <c r="N43" s="5" t="str">
        <f>'TECH DATA SHEET'!N43</f>
        <v>SNL 528</v>
      </c>
      <c r="O43" s="5" t="str">
        <f>'TECH DATA SHEET'!O43</f>
        <v>SNL 518-615</v>
      </c>
      <c r="P43" s="5" t="str">
        <f>'TECH DATA SHEET'!P43</f>
        <v>SNL 522-619</v>
      </c>
      <c r="Q43" s="5" t="str">
        <f>'TECH DATA SHEET'!Q43</f>
        <v>SNL 528</v>
      </c>
      <c r="R43" s="5" t="str">
        <f>'TECH DATA SHEET'!R43</f>
        <v>SNL 3136</v>
      </c>
      <c r="S43" s="5" t="str">
        <f>'TECH DATA SHEET'!S43</f>
        <v>SNL532</v>
      </c>
    </row>
    <row r="44" spans="1:19" x14ac:dyDescent="0.35">
      <c r="A44" s="3" t="s">
        <v>57</v>
      </c>
      <c r="B44" s="4" t="s">
        <v>37</v>
      </c>
      <c r="C44" s="5">
        <f>IFERROR(VLOOKUP(C43,HSG_DATA!$B:$C,2,0),0)</f>
        <v>39672</v>
      </c>
      <c r="D44" s="5">
        <f>IFERROR(VLOOKUP(D43,HSG_DATA!$B:$C,2,0),0)</f>
        <v>0</v>
      </c>
      <c r="E44" s="5">
        <f>IFERROR(VLOOKUP(E43,HSG_DATA!$B:$C,2,0),0)</f>
        <v>39672</v>
      </c>
      <c r="F44" s="5">
        <f>IFERROR(VLOOKUP(F43,HSG_DATA!$B:$C,2,0),0)</f>
        <v>48472</v>
      </c>
      <c r="G44" s="5">
        <f>IFERROR(VLOOKUP(G43,HSG_DATA!$B:$C,2,0),0)</f>
        <v>25766</v>
      </c>
      <c r="H44" s="5">
        <f>IFERROR(VLOOKUP(H43,HSG_DATA!$B:$C,2,0),0)</f>
        <v>25766</v>
      </c>
      <c r="I44" s="5">
        <f>IFERROR(VLOOKUP(I43,HSG_DATA!$B:$C,2,0),0)</f>
        <v>25766</v>
      </c>
      <c r="J44" s="5">
        <f>IFERROR(VLOOKUP(J43,HSG_DATA!$B:$C,2,0),0)</f>
        <v>25766</v>
      </c>
      <c r="K44" s="5">
        <f>IFERROR(VLOOKUP(K43,HSG_DATA!$B:$C,2,0),0)</f>
        <v>25766</v>
      </c>
      <c r="L44" s="5">
        <f>IFERROR(VLOOKUP(L43,HSG_DATA!$B:$C,2,0),0)</f>
        <v>9022</v>
      </c>
      <c r="M44" s="5">
        <f>IFERROR(VLOOKUP(M43,HSG_DATA!$B:$C,2,0),0)</f>
        <v>13057</v>
      </c>
      <c r="N44" s="5">
        <f>IFERROR(VLOOKUP(N43,HSG_DATA!$B:$C,2,0),0)</f>
        <v>25766</v>
      </c>
      <c r="O44" s="5">
        <f>IFERROR(VLOOKUP(O43,HSG_DATA!$B:$C,2,0),0)</f>
        <v>9022</v>
      </c>
      <c r="P44" s="5">
        <f>IFERROR(VLOOKUP(P43,HSG_DATA!$B:$C,2,0),0)</f>
        <v>13057</v>
      </c>
      <c r="Q44" s="5">
        <f>IFERROR(VLOOKUP(Q43,HSG_DATA!$B:$C,2,0),0)</f>
        <v>25766</v>
      </c>
      <c r="R44" s="5">
        <f>IFERROR(VLOOKUP(R43,HSG_DATA!$B:$C,2,0),0)</f>
        <v>36000</v>
      </c>
      <c r="S44" s="5">
        <f>IFERROR(VLOOKUP(S43,HSG_DATA!$B:$C,2,0),0)</f>
        <v>0</v>
      </c>
    </row>
    <row r="45" spans="1:19" x14ac:dyDescent="0.35">
      <c r="A45" s="138" t="s">
        <v>664</v>
      </c>
      <c r="B45" s="7" t="s">
        <v>37</v>
      </c>
      <c r="C45" s="8">
        <f t="shared" ref="C45" si="10">2*(C38+C40+C42+C44)</f>
        <v>209344</v>
      </c>
      <c r="D45" s="8">
        <f t="shared" ref="D45:L45" si="11">2*(D38+D40+D42+D44)</f>
        <v>146000</v>
      </c>
      <c r="E45" s="8">
        <f t="shared" si="11"/>
        <v>209344</v>
      </c>
      <c r="F45" s="8">
        <f t="shared" si="11"/>
        <v>325860</v>
      </c>
      <c r="G45" s="8">
        <f t="shared" si="11"/>
        <v>157536</v>
      </c>
      <c r="H45" s="8">
        <f t="shared" si="11"/>
        <v>157536</v>
      </c>
      <c r="I45" s="8">
        <f t="shared" si="11"/>
        <v>157536</v>
      </c>
      <c r="J45" s="8">
        <f t="shared" si="11"/>
        <v>157536</v>
      </c>
      <c r="K45" s="8">
        <f t="shared" si="11"/>
        <v>157536</v>
      </c>
      <c r="L45" s="8">
        <f t="shared" si="11"/>
        <v>61840</v>
      </c>
      <c r="M45" s="8">
        <f t="shared" ref="M45:S45" si="12">2*(M38+M40+M42+M44)</f>
        <v>58466</v>
      </c>
      <c r="N45" s="8">
        <f t="shared" si="12"/>
        <v>157536</v>
      </c>
      <c r="O45" s="8">
        <f t="shared" si="12"/>
        <v>61840</v>
      </c>
      <c r="P45" s="8">
        <f t="shared" si="12"/>
        <v>58466</v>
      </c>
      <c r="Q45" s="8">
        <f t="shared" si="12"/>
        <v>157536</v>
      </c>
      <c r="R45" s="8">
        <f t="shared" si="12"/>
        <v>359228</v>
      </c>
      <c r="S45" s="8">
        <f t="shared" si="12"/>
        <v>130000</v>
      </c>
    </row>
    <row r="47" spans="1:19" ht="21.75" customHeight="1" x14ac:dyDescent="0.35">
      <c r="A47" s="163" t="s">
        <v>58</v>
      </c>
      <c r="B47" s="163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</row>
    <row r="48" spans="1:19" ht="25" x14ac:dyDescent="0.35">
      <c r="A48" s="3" t="s">
        <v>59</v>
      </c>
      <c r="B48" s="4" t="s">
        <v>4</v>
      </c>
      <c r="C48" s="5" t="str">
        <f>'TECH DATA SHEET'!C48</f>
        <v>Rubber vulc. 12mm</v>
      </c>
      <c r="D48" s="5" t="str">
        <f>'TECH DATA SHEET'!D48</f>
        <v>Rubber vulc. 12mm</v>
      </c>
      <c r="E48" s="5" t="str">
        <f>'TECH DATA SHEET'!E48</f>
        <v>Rubber vulc. 12mm</v>
      </c>
      <c r="F48" s="5" t="str">
        <f>'TECH DATA SHEET'!F48</f>
        <v>Rubber vulc. 12mm</v>
      </c>
      <c r="G48" s="5" t="str">
        <f>'TECH DATA SHEET'!G48</f>
        <v>Rubber vulc. 12mm</v>
      </c>
      <c r="H48" s="5" t="str">
        <f>'TECH DATA SHEET'!H48</f>
        <v>Rubber vulc. 12mm</v>
      </c>
      <c r="I48" s="5" t="str">
        <f>'TECH DATA SHEET'!I48</f>
        <v>Rubber vulc. 12mm</v>
      </c>
      <c r="J48" s="5" t="str">
        <f>'TECH DATA SHEET'!J48</f>
        <v>Rubber vulc. 12mm</v>
      </c>
      <c r="K48" s="5" t="str">
        <f>'TECH DATA SHEET'!K48</f>
        <v>Rubber vulc. 12mm</v>
      </c>
      <c r="L48" s="5" t="str">
        <f>'TECH DATA SHEET'!L48</f>
        <v>Rubber vulc. 12mm</v>
      </c>
      <c r="M48" s="5" t="str">
        <f>'TECH DATA SHEET'!M48</f>
        <v>Rubber vulc. 12mm</v>
      </c>
      <c r="N48" s="5" t="str">
        <f>'TECH DATA SHEET'!N48</f>
        <v>Rubber vulc. 12mm</v>
      </c>
      <c r="O48" s="5" t="str">
        <f>'TECH DATA SHEET'!O48</f>
        <v>Rubber vulc. 12mm</v>
      </c>
      <c r="P48" s="5" t="str">
        <f>'TECH DATA SHEET'!P48</f>
        <v>Rubber vulc. 12mm</v>
      </c>
      <c r="Q48" s="5" t="str">
        <f>'TECH DATA SHEET'!Q48</f>
        <v>Rubber vulc. 12mm</v>
      </c>
      <c r="R48" s="5" t="str">
        <f>'TECH DATA SHEET'!R48</f>
        <v>Rubber vulc. 12mm</v>
      </c>
      <c r="S48" s="5" t="str">
        <f>'TECH DATA SHEET'!S48</f>
        <v>Rubber vulc. 12mm</v>
      </c>
    </row>
    <row r="49" spans="1:19" x14ac:dyDescent="0.35">
      <c r="A49" s="3" t="s">
        <v>66</v>
      </c>
      <c r="B49" s="4" t="s">
        <v>11</v>
      </c>
      <c r="C49" s="5">
        <f>'TECH DATA SHEET'!C49</f>
        <v>12</v>
      </c>
      <c r="D49" s="5">
        <f>'TECH DATA SHEET'!D49</f>
        <v>12</v>
      </c>
      <c r="E49" s="5">
        <f>'TECH DATA SHEET'!E49</f>
        <v>12</v>
      </c>
      <c r="F49" s="5">
        <f>'TECH DATA SHEET'!F49</f>
        <v>12</v>
      </c>
      <c r="G49" s="5">
        <f>'TECH DATA SHEET'!G49</f>
        <v>12</v>
      </c>
      <c r="H49" s="5">
        <f>'TECH DATA SHEET'!H49</f>
        <v>12</v>
      </c>
      <c r="I49" s="5">
        <f>'TECH DATA SHEET'!I49</f>
        <v>12</v>
      </c>
      <c r="J49" s="5">
        <f>'TECH DATA SHEET'!J49</f>
        <v>12</v>
      </c>
      <c r="K49" s="5">
        <f>'TECH DATA SHEET'!K49</f>
        <v>12</v>
      </c>
      <c r="L49" s="5">
        <f>'TECH DATA SHEET'!L49</f>
        <v>12</v>
      </c>
      <c r="M49" s="5">
        <f>'TECH DATA SHEET'!M49</f>
        <v>12</v>
      </c>
      <c r="N49" s="5">
        <f>'TECH DATA SHEET'!N49</f>
        <v>12</v>
      </c>
      <c r="O49" s="5">
        <f>'TECH DATA SHEET'!O49</f>
        <v>12</v>
      </c>
      <c r="P49" s="5">
        <f>'TECH DATA SHEET'!P49</f>
        <v>12</v>
      </c>
      <c r="Q49" s="5">
        <f>'TECH DATA SHEET'!Q49</f>
        <v>12</v>
      </c>
      <c r="R49" s="5">
        <f>'TECH DATA SHEET'!R49</f>
        <v>12</v>
      </c>
      <c r="S49" s="5">
        <f>'TECH DATA SHEET'!S49</f>
        <v>12</v>
      </c>
    </row>
    <row r="50" spans="1:19" x14ac:dyDescent="0.35">
      <c r="A50" s="6" t="s">
        <v>67</v>
      </c>
      <c r="B50" s="7" t="s">
        <v>68</v>
      </c>
      <c r="C50" s="9">
        <f t="shared" ref="C50" si="13">PI()*C13/1000*C14/1000</f>
        <v>2.4504422698000385</v>
      </c>
      <c r="D50" s="9">
        <f t="shared" ref="D50:L50" si="14">PI()*D13/1000*D14/1000</f>
        <v>2.1676989309769574</v>
      </c>
      <c r="E50" s="9">
        <f t="shared" si="14"/>
        <v>2.1676989309769574</v>
      </c>
      <c r="F50" s="9">
        <f t="shared" si="14"/>
        <v>2.1676989309769574</v>
      </c>
      <c r="G50" s="9">
        <f t="shared" si="14"/>
        <v>2.7708847204661979</v>
      </c>
      <c r="H50" s="9">
        <f t="shared" si="14"/>
        <v>2.6703537555513241</v>
      </c>
      <c r="I50" s="9">
        <f t="shared" si="14"/>
        <v>2.1991148575128552</v>
      </c>
      <c r="J50" s="9">
        <f t="shared" si="14"/>
        <v>2.1362830044410592</v>
      </c>
      <c r="K50" s="9">
        <f t="shared" si="14"/>
        <v>1.7592918860102842</v>
      </c>
      <c r="L50" s="9">
        <f t="shared" si="14"/>
        <v>1.7592918860102842</v>
      </c>
      <c r="M50" s="9">
        <f t="shared" ref="M50:S50" si="15">PI()*M13/1000*M14/1000</f>
        <v>2.1991148575128552</v>
      </c>
      <c r="N50" s="9">
        <f t="shared" si="15"/>
        <v>2.3750440461138838</v>
      </c>
      <c r="O50" s="9">
        <f t="shared" si="15"/>
        <v>1.5079644737231006</v>
      </c>
      <c r="P50" s="9">
        <f t="shared" si="15"/>
        <v>1.8849555921538759</v>
      </c>
      <c r="Q50" s="9">
        <f t="shared" si="15"/>
        <v>2.3750440461138838</v>
      </c>
      <c r="R50" s="9">
        <f t="shared" si="15"/>
        <v>3.0159289474462012</v>
      </c>
      <c r="S50" s="9">
        <f t="shared" si="15"/>
        <v>2.4504422698000385</v>
      </c>
    </row>
    <row r="51" spans="1:19" x14ac:dyDescent="0.35">
      <c r="A51" s="3" t="s">
        <v>69</v>
      </c>
      <c r="B51" s="4" t="s">
        <v>70</v>
      </c>
      <c r="C51" s="5">
        <f>IFERROR(VLOOKUP(C48,LAG_DATA!$A:$C,3,0),0)</f>
        <v>19387</v>
      </c>
      <c r="D51" s="5">
        <f>IFERROR(VLOOKUP(D48,LAG_DATA!$A:$C,3,0),0)</f>
        <v>19387</v>
      </c>
      <c r="E51" s="5">
        <f>IFERROR(VLOOKUP(E48,LAG_DATA!$A:$C,3,0),0)</f>
        <v>19387</v>
      </c>
      <c r="F51" s="5">
        <f>IFERROR(VLOOKUP(F48,LAG_DATA!$A:$C,3,0),0)</f>
        <v>19387</v>
      </c>
      <c r="G51" s="5">
        <f>IFERROR(VLOOKUP(G48,LAG_DATA!$A:$C,3,0),0)</f>
        <v>19387</v>
      </c>
      <c r="H51" s="5">
        <f>IFERROR(VLOOKUP(H48,LAG_DATA!$A:$C,3,0),0)</f>
        <v>19387</v>
      </c>
      <c r="I51" s="5">
        <f>IFERROR(VLOOKUP(I48,LAG_DATA!$A:$C,3,0),0)</f>
        <v>19387</v>
      </c>
      <c r="J51" s="5">
        <f>IFERROR(VLOOKUP(J48,LAG_DATA!$A:$C,3,0),0)</f>
        <v>19387</v>
      </c>
      <c r="K51" s="5">
        <f>IFERROR(VLOOKUP(K48,LAG_DATA!$A:$C,3,0),0)</f>
        <v>19387</v>
      </c>
      <c r="L51" s="5">
        <f>IFERROR(VLOOKUP(L48,LAG_DATA!$A:$C,3,0),0)</f>
        <v>19387</v>
      </c>
      <c r="M51" s="5">
        <f>IFERROR(VLOOKUP(M48,LAG_DATA!$A:$C,3,0),0)</f>
        <v>19387</v>
      </c>
      <c r="N51" s="5">
        <f>IFERROR(VLOOKUP(N48,LAG_DATA!$A:$C,3,0),0)</f>
        <v>19387</v>
      </c>
      <c r="O51" s="5">
        <f>IFERROR(VLOOKUP(O48,LAG_DATA!$A:$C,3,0),0)</f>
        <v>19387</v>
      </c>
      <c r="P51" s="5">
        <f>IFERROR(VLOOKUP(P48,LAG_DATA!$A:$C,3,0),0)</f>
        <v>19387</v>
      </c>
      <c r="Q51" s="5">
        <f>IFERROR(VLOOKUP(Q48,LAG_DATA!$A:$C,3,0),0)</f>
        <v>19387</v>
      </c>
      <c r="R51" s="5">
        <f>IFERROR(VLOOKUP(R48,LAG_DATA!$A:$C,3,0),0)</f>
        <v>19387</v>
      </c>
      <c r="S51" s="5">
        <f>IFERROR(VLOOKUP(S48,LAG_DATA!$A:$C,3,0),0)</f>
        <v>19387</v>
      </c>
    </row>
    <row r="52" spans="1:19" x14ac:dyDescent="0.35">
      <c r="A52" s="6" t="s">
        <v>71</v>
      </c>
      <c r="B52" s="7" t="s">
        <v>37</v>
      </c>
      <c r="C52" s="8">
        <f t="shared" ref="C52" si="16">C50*C51</f>
        <v>47506.724284613345</v>
      </c>
      <c r="D52" s="8">
        <f t="shared" ref="D52:L52" si="17">D50*D51</f>
        <v>42025.179174850273</v>
      </c>
      <c r="E52" s="8">
        <f t="shared" si="17"/>
        <v>42025.179174850273</v>
      </c>
      <c r="F52" s="8">
        <f t="shared" si="17"/>
        <v>42025.179174850273</v>
      </c>
      <c r="G52" s="8">
        <f t="shared" si="17"/>
        <v>53719.142075678181</v>
      </c>
      <c r="H52" s="8">
        <f t="shared" si="17"/>
        <v>51770.148258873523</v>
      </c>
      <c r="I52" s="8">
        <f t="shared" si="17"/>
        <v>42634.239742601727</v>
      </c>
      <c r="J52" s="8">
        <f t="shared" si="17"/>
        <v>41416.118607098819</v>
      </c>
      <c r="K52" s="8">
        <f t="shared" si="17"/>
        <v>34107.391794081377</v>
      </c>
      <c r="L52" s="8">
        <f t="shared" si="17"/>
        <v>34107.391794081377</v>
      </c>
      <c r="M52" s="8">
        <f t="shared" ref="M52:S52" si="18">M50*M51</f>
        <v>42634.239742601727</v>
      </c>
      <c r="N52" s="8">
        <f t="shared" si="18"/>
        <v>46044.978922009861</v>
      </c>
      <c r="O52" s="8">
        <f t="shared" si="18"/>
        <v>29234.907252069752</v>
      </c>
      <c r="P52" s="8">
        <f t="shared" si="18"/>
        <v>36543.634065087193</v>
      </c>
      <c r="Q52" s="8">
        <f t="shared" si="18"/>
        <v>46044.978922009861</v>
      </c>
      <c r="R52" s="8">
        <f t="shared" si="18"/>
        <v>58469.814504139504</v>
      </c>
      <c r="S52" s="8">
        <f t="shared" si="18"/>
        <v>47506.724284613345</v>
      </c>
    </row>
    <row r="54" spans="1:19" ht="21.75" customHeight="1" x14ac:dyDescent="0.35">
      <c r="A54" s="163" t="s">
        <v>72</v>
      </c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</row>
    <row r="55" spans="1:19" ht="25" x14ac:dyDescent="0.35">
      <c r="A55" s="3" t="s">
        <v>73</v>
      </c>
      <c r="B55" s="4" t="s">
        <v>4</v>
      </c>
      <c r="C55" s="5" t="str">
        <f>'TECH DATA SHEET'!C55</f>
        <v>NMTG N7036-170 × 240</v>
      </c>
      <c r="D55" s="5" t="str">
        <f>'TECH DATA SHEET'!D55</f>
        <v>NMTG N7036-170 × 240</v>
      </c>
      <c r="E55" s="5" t="str">
        <f>'TECH DATA SHEET'!E55</f>
        <v>NMTG N7036-170 × 240</v>
      </c>
      <c r="F55" s="5" t="str">
        <f>'TECH DATA SHEET'!F55</f>
        <v>NMTG N7036-180 × 250</v>
      </c>
      <c r="G55" s="5" t="str">
        <f>'TECH DATA SHEET'!G55</f>
        <v>NMTG N7036-140 × 200</v>
      </c>
      <c r="H55" s="5" t="str">
        <f>'TECH DATA SHEET'!H55</f>
        <v>NMTG N7036-140 × 200</v>
      </c>
      <c r="I55" s="5" t="str">
        <f>'TECH DATA SHEET'!I55</f>
        <v>NMTG N7036-140 × 200</v>
      </c>
      <c r="J55" s="5" t="str">
        <f>'TECH DATA SHEET'!J55</f>
        <v>NMTG N7036-140 × 200</v>
      </c>
      <c r="K55" s="5" t="str">
        <f>'TECH DATA SHEET'!K55</f>
        <v>NMTG N7036-140 × 200</v>
      </c>
      <c r="L55" s="5" t="str">
        <f>'TECH DATA SHEET'!L55</f>
        <v>NMTG N7036-100 × 150</v>
      </c>
      <c r="M55" s="5" t="str">
        <f>'TECH DATA SHEET'!M55</f>
        <v>NMTG N7036-120 × 170</v>
      </c>
      <c r="N55" s="5" t="str">
        <f>'TECH DATA SHEET'!N55</f>
        <v>NMTG N7036-150 x 210</v>
      </c>
      <c r="O55" s="5" t="str">
        <f>'TECH DATA SHEET'!O55</f>
        <v>NMTG N7036-100 × 150</v>
      </c>
      <c r="P55" s="5" t="str">
        <f>'TECH DATA SHEET'!P55</f>
        <v>NMTG N7036-120 × 170</v>
      </c>
      <c r="Q55" s="5" t="str">
        <f>'TECH DATA SHEET'!Q55</f>
        <v>NMTG N7036-140 × 200</v>
      </c>
      <c r="R55" s="5" t="str">
        <f>'TECH DATA SHEET'!R55</f>
        <v>NMTG N7036-180 × 250</v>
      </c>
      <c r="S55" s="5" t="str">
        <f>'TECH DATA SHEET'!S55</f>
        <v>NMTG N7036-170 × 240</v>
      </c>
    </row>
    <row r="56" spans="1:19" x14ac:dyDescent="0.35">
      <c r="A56" s="3" t="s">
        <v>74</v>
      </c>
      <c r="B56" s="4" t="s">
        <v>37</v>
      </c>
      <c r="C56" s="5">
        <f>IFERROR(VLOOKUP(C55,LCD_DATA!$A$3:$C$7,3,0),0)</f>
        <v>70000</v>
      </c>
      <c r="D56" s="5">
        <f>IFERROR(VLOOKUP(D55,LCD_DATA!$A$3:$C$7,3,0),0)</f>
        <v>70000</v>
      </c>
      <c r="E56" s="5">
        <f>IFERROR(VLOOKUP(E55,LCD_DATA!$A$3:$C$7,3,0),0)</f>
        <v>70000</v>
      </c>
      <c r="F56" s="5">
        <f>IFERROR(VLOOKUP(F55,LCD_DATA!$A$3:$C$7,3,0),0)</f>
        <v>80000</v>
      </c>
      <c r="G56" s="5">
        <f>IFERROR(VLOOKUP(G55,LCD_DATA!$A$3:$C$7,3,0),0)</f>
        <v>50000</v>
      </c>
      <c r="H56" s="5">
        <f>IFERROR(VLOOKUP(H55,LCD_DATA!$A$3:$C$7,3,0),0)</f>
        <v>50000</v>
      </c>
      <c r="I56" s="5">
        <f>IFERROR(VLOOKUP(I55,LCD_DATA!$A$3:$C$7,3,0),0)</f>
        <v>50000</v>
      </c>
      <c r="J56" s="5">
        <f>IFERROR(VLOOKUP(J55,LCD_DATA!$A$3:$C$7,3,0),0)</f>
        <v>50000</v>
      </c>
      <c r="K56" s="5">
        <f>IFERROR(VLOOKUP(K55,LCD_DATA!$A$3:$C$7,3,0),0)</f>
        <v>50000</v>
      </c>
      <c r="L56" s="5">
        <f>IFERROR(VLOOKUP(L55,LCD_DATA!$A$3:$C$7,3,0),0)</f>
        <v>30000</v>
      </c>
      <c r="M56" s="5">
        <f>IFERROR(VLOOKUP(M55,LCD_DATA!$A$3:$C$7,3,0),0)</f>
        <v>40000</v>
      </c>
      <c r="N56" s="5">
        <f>IFERROR(VLOOKUP(N55,LCD_DATA!$A$3:$C$7,3,0),0)</f>
        <v>0</v>
      </c>
      <c r="O56" s="5">
        <f>IFERROR(VLOOKUP(O55,LCD_DATA!$A$3:$C$7,3,0),0)</f>
        <v>30000</v>
      </c>
      <c r="P56" s="5">
        <f>IFERROR(VLOOKUP(P55,LCD_DATA!$A$3:$C$7,3,0),0)</f>
        <v>40000</v>
      </c>
      <c r="Q56" s="5">
        <f>IFERROR(VLOOKUP(Q55,LCD_DATA!$A$3:$C$7,3,0),0)</f>
        <v>50000</v>
      </c>
      <c r="R56" s="5">
        <f>IFERROR(VLOOKUP(R55,LCD_DATA!$A$3:$C$7,3,0),0)</f>
        <v>80000</v>
      </c>
      <c r="S56" s="5">
        <f>IFERROR(VLOOKUP(S55,LCD_DATA!$A$3:$C$7,3,0),0)</f>
        <v>70000</v>
      </c>
    </row>
    <row r="57" spans="1:19" x14ac:dyDescent="0.35">
      <c r="A57" s="3" t="s">
        <v>75</v>
      </c>
      <c r="B57" s="4" t="s">
        <v>37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9" spans="1:19" ht="21.75" customHeight="1" x14ac:dyDescent="0.35">
      <c r="A59" s="163" t="s">
        <v>76</v>
      </c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</row>
    <row r="60" spans="1:19" x14ac:dyDescent="0.35">
      <c r="A60" s="145" t="s">
        <v>77</v>
      </c>
      <c r="B60" s="144" t="s">
        <v>4</v>
      </c>
      <c r="C60" s="144" t="s">
        <v>78</v>
      </c>
      <c r="D60" s="144" t="s">
        <v>78</v>
      </c>
      <c r="E60" s="144" t="s">
        <v>78</v>
      </c>
      <c r="F60" s="144" t="s">
        <v>78</v>
      </c>
      <c r="G60" s="144" t="s">
        <v>78</v>
      </c>
      <c r="H60" s="144" t="s">
        <v>78</v>
      </c>
      <c r="I60" s="144" t="s">
        <v>78</v>
      </c>
      <c r="J60" s="144" t="s">
        <v>78</v>
      </c>
      <c r="K60" s="144" t="s">
        <v>78</v>
      </c>
      <c r="L60" s="144" t="s">
        <v>78</v>
      </c>
      <c r="M60" s="144" t="s">
        <v>78</v>
      </c>
      <c r="N60" s="144" t="s">
        <v>78</v>
      </c>
      <c r="O60" s="144" t="s">
        <v>78</v>
      </c>
      <c r="P60" s="144" t="s">
        <v>78</v>
      </c>
      <c r="Q60" s="144" t="s">
        <v>78</v>
      </c>
      <c r="R60" s="144" t="s">
        <v>78</v>
      </c>
      <c r="S60" s="144" t="s">
        <v>78</v>
      </c>
    </row>
    <row r="61" spans="1:19" x14ac:dyDescent="0.35">
      <c r="A61" s="145" t="s">
        <v>79</v>
      </c>
      <c r="B61" s="144" t="s">
        <v>4</v>
      </c>
      <c r="C61" s="144" t="s">
        <v>78</v>
      </c>
      <c r="D61" s="144" t="s">
        <v>78</v>
      </c>
      <c r="E61" s="144" t="s">
        <v>78</v>
      </c>
      <c r="F61" s="144" t="s">
        <v>78</v>
      </c>
      <c r="G61" s="144" t="s">
        <v>78</v>
      </c>
      <c r="H61" s="144" t="s">
        <v>78</v>
      </c>
      <c r="I61" s="144" t="s">
        <v>78</v>
      </c>
      <c r="J61" s="144" t="s">
        <v>78</v>
      </c>
      <c r="K61" s="144" t="s">
        <v>78</v>
      </c>
      <c r="L61" s="144" t="s">
        <v>78</v>
      </c>
      <c r="M61" s="144" t="s">
        <v>78</v>
      </c>
      <c r="N61" s="144" t="s">
        <v>78</v>
      </c>
      <c r="O61" s="144" t="s">
        <v>78</v>
      </c>
      <c r="P61" s="144" t="s">
        <v>78</v>
      </c>
      <c r="Q61" s="144" t="s">
        <v>78</v>
      </c>
      <c r="R61" s="144" t="s">
        <v>78</v>
      </c>
      <c r="S61" s="144" t="s">
        <v>78</v>
      </c>
    </row>
    <row r="62" spans="1:19" x14ac:dyDescent="0.35">
      <c r="A62" s="145" t="s">
        <v>80</v>
      </c>
      <c r="B62" s="144" t="s">
        <v>4</v>
      </c>
      <c r="C62" s="144" t="s">
        <v>81</v>
      </c>
      <c r="D62" s="144" t="s">
        <v>81</v>
      </c>
      <c r="E62" s="144" t="s">
        <v>81</v>
      </c>
      <c r="F62" s="144" t="s">
        <v>81</v>
      </c>
      <c r="G62" s="144" t="s">
        <v>81</v>
      </c>
      <c r="H62" s="144" t="s">
        <v>81</v>
      </c>
      <c r="I62" s="144" t="s">
        <v>81</v>
      </c>
      <c r="J62" s="144" t="s">
        <v>81</v>
      </c>
      <c r="K62" s="144" t="s">
        <v>81</v>
      </c>
      <c r="L62" s="144" t="s">
        <v>81</v>
      </c>
      <c r="M62" s="144" t="s">
        <v>81</v>
      </c>
      <c r="N62" s="144" t="s">
        <v>81</v>
      </c>
      <c r="O62" s="144" t="s">
        <v>81</v>
      </c>
      <c r="P62" s="144" t="s">
        <v>81</v>
      </c>
      <c r="Q62" s="144" t="s">
        <v>81</v>
      </c>
      <c r="R62" s="144" t="s">
        <v>81</v>
      </c>
      <c r="S62" s="144" t="s">
        <v>81</v>
      </c>
    </row>
    <row r="63" spans="1:19" x14ac:dyDescent="0.35">
      <c r="A63" s="145" t="s">
        <v>82</v>
      </c>
      <c r="B63" s="144" t="s">
        <v>4</v>
      </c>
      <c r="C63" s="144" t="s">
        <v>78</v>
      </c>
      <c r="D63" s="144" t="s">
        <v>78</v>
      </c>
      <c r="E63" s="144" t="s">
        <v>78</v>
      </c>
      <c r="F63" s="144" t="s">
        <v>78</v>
      </c>
      <c r="G63" s="144" t="s">
        <v>78</v>
      </c>
      <c r="H63" s="144" t="s">
        <v>78</v>
      </c>
      <c r="I63" s="144" t="s">
        <v>78</v>
      </c>
      <c r="J63" s="144" t="s">
        <v>78</v>
      </c>
      <c r="K63" s="144" t="s">
        <v>78</v>
      </c>
      <c r="L63" s="144" t="s">
        <v>78</v>
      </c>
      <c r="M63" s="144" t="s">
        <v>78</v>
      </c>
      <c r="N63" s="144" t="s">
        <v>78</v>
      </c>
      <c r="O63" s="144" t="s">
        <v>78</v>
      </c>
      <c r="P63" s="144" t="s">
        <v>78</v>
      </c>
      <c r="Q63" s="144" t="s">
        <v>78</v>
      </c>
      <c r="R63" s="144" t="s">
        <v>78</v>
      </c>
      <c r="S63" s="144" t="s">
        <v>78</v>
      </c>
    </row>
    <row r="64" spans="1:19" x14ac:dyDescent="0.35">
      <c r="A64" s="145" t="s">
        <v>83</v>
      </c>
      <c r="B64" s="144" t="s">
        <v>4</v>
      </c>
      <c r="C64" s="144" t="s">
        <v>81</v>
      </c>
      <c r="D64" s="144" t="s">
        <v>81</v>
      </c>
      <c r="E64" s="144" t="s">
        <v>81</v>
      </c>
      <c r="F64" s="144" t="s">
        <v>81</v>
      </c>
      <c r="G64" s="144" t="s">
        <v>81</v>
      </c>
      <c r="H64" s="144" t="s">
        <v>81</v>
      </c>
      <c r="I64" s="144" t="s">
        <v>81</v>
      </c>
      <c r="J64" s="144" t="s">
        <v>81</v>
      </c>
      <c r="K64" s="144" t="s">
        <v>81</v>
      </c>
      <c r="L64" s="144" t="s">
        <v>81</v>
      </c>
      <c r="M64" s="144" t="s">
        <v>81</v>
      </c>
      <c r="N64" s="144" t="s">
        <v>81</v>
      </c>
      <c r="O64" s="144" t="s">
        <v>81</v>
      </c>
      <c r="P64" s="144" t="s">
        <v>81</v>
      </c>
      <c r="Q64" s="144" t="s">
        <v>81</v>
      </c>
      <c r="R64" s="144" t="s">
        <v>81</v>
      </c>
      <c r="S64" s="144" t="s">
        <v>81</v>
      </c>
    </row>
    <row r="65" spans="1:19" x14ac:dyDescent="0.35">
      <c r="A65" s="145" t="s">
        <v>84</v>
      </c>
      <c r="B65" s="144" t="s">
        <v>4</v>
      </c>
      <c r="C65" s="144" t="s">
        <v>78</v>
      </c>
      <c r="D65" s="144" t="s">
        <v>78</v>
      </c>
      <c r="E65" s="144" t="s">
        <v>78</v>
      </c>
      <c r="F65" s="144" t="s">
        <v>78</v>
      </c>
      <c r="G65" s="144" t="s">
        <v>78</v>
      </c>
      <c r="H65" s="144" t="s">
        <v>78</v>
      </c>
      <c r="I65" s="144" t="s">
        <v>78</v>
      </c>
      <c r="J65" s="144" t="s">
        <v>78</v>
      </c>
      <c r="K65" s="144" t="s">
        <v>78</v>
      </c>
      <c r="L65" s="144" t="s">
        <v>78</v>
      </c>
      <c r="M65" s="144" t="s">
        <v>78</v>
      </c>
      <c r="N65" s="144" t="s">
        <v>78</v>
      </c>
      <c r="O65" s="144" t="s">
        <v>78</v>
      </c>
      <c r="P65" s="144" t="s">
        <v>78</v>
      </c>
      <c r="Q65" s="144" t="s">
        <v>78</v>
      </c>
      <c r="R65" s="144" t="s">
        <v>78</v>
      </c>
      <c r="S65" s="144" t="s">
        <v>78</v>
      </c>
    </row>
    <row r="66" spans="1:19" x14ac:dyDescent="0.35">
      <c r="A66" s="145" t="s">
        <v>85</v>
      </c>
      <c r="B66" s="144" t="s">
        <v>4</v>
      </c>
      <c r="C66" s="144" t="s">
        <v>78</v>
      </c>
      <c r="D66" s="144" t="s">
        <v>78</v>
      </c>
      <c r="E66" s="144" t="s">
        <v>78</v>
      </c>
      <c r="F66" s="144" t="s">
        <v>78</v>
      </c>
      <c r="G66" s="144" t="s">
        <v>78</v>
      </c>
      <c r="H66" s="144" t="s">
        <v>78</v>
      </c>
      <c r="I66" s="144" t="s">
        <v>78</v>
      </c>
      <c r="J66" s="144" t="s">
        <v>78</v>
      </c>
      <c r="K66" s="144" t="s">
        <v>78</v>
      </c>
      <c r="L66" s="144" t="s">
        <v>78</v>
      </c>
      <c r="M66" s="144" t="s">
        <v>78</v>
      </c>
      <c r="N66" s="144" t="s">
        <v>78</v>
      </c>
      <c r="O66" s="144" t="s">
        <v>78</v>
      </c>
      <c r="P66" s="144" t="s">
        <v>78</v>
      </c>
      <c r="Q66" s="144" t="s">
        <v>78</v>
      </c>
      <c r="R66" s="144" t="s">
        <v>78</v>
      </c>
      <c r="S66" s="144" t="s">
        <v>78</v>
      </c>
    </row>
    <row r="68" spans="1:19" ht="21.75" customHeight="1" x14ac:dyDescent="0.35">
      <c r="A68" s="10" t="s">
        <v>86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spans="1:19" x14ac:dyDescent="0.35">
      <c r="A69" s="105" t="s">
        <v>87</v>
      </c>
      <c r="B69" s="98" t="s">
        <v>37</v>
      </c>
      <c r="C69" s="98">
        <f>C22*C21</f>
        <v>64730.406865409997</v>
      </c>
      <c r="D69" s="98">
        <f>D22*D21</f>
        <v>53346.534648907495</v>
      </c>
      <c r="E69" s="98">
        <f>E22*E21</f>
        <v>69880.840709680007</v>
      </c>
      <c r="F69" s="98">
        <f>F22*F21</f>
        <v>69880.840709680007</v>
      </c>
      <c r="G69" s="98">
        <f>G22*G21</f>
        <v>68361.691998599999</v>
      </c>
      <c r="H69" s="98">
        <f t="shared" ref="H69:L69" si="19">H22*H21</f>
        <v>65024.990365334997</v>
      </c>
      <c r="I69" s="98">
        <f t="shared" si="19"/>
        <v>53549.992065569997</v>
      </c>
      <c r="J69" s="98">
        <f t="shared" si="19"/>
        <v>51189.886032285001</v>
      </c>
      <c r="K69" s="98">
        <f t="shared" si="19"/>
        <v>46694.565959117994</v>
      </c>
      <c r="L69" s="98">
        <f t="shared" si="19"/>
        <v>46694.565959117994</v>
      </c>
      <c r="M69" s="98">
        <f t="shared" ref="M69:S69" si="20">M22*M21</f>
        <v>58088.181292217996</v>
      </c>
      <c r="N69" s="98">
        <f t="shared" si="20"/>
        <v>62485.612478783987</v>
      </c>
      <c r="O69" s="98">
        <f t="shared" si="20"/>
        <v>40023.913679243989</v>
      </c>
      <c r="P69" s="98">
        <f t="shared" si="20"/>
        <v>49789.869679044001</v>
      </c>
      <c r="Q69" s="98">
        <f t="shared" si="20"/>
        <v>62485.612478783987</v>
      </c>
      <c r="R69" s="98">
        <f t="shared" si="20"/>
        <v>79087.737678443998</v>
      </c>
      <c r="S69" s="98">
        <f t="shared" si="20"/>
        <v>64438.803678744</v>
      </c>
    </row>
    <row r="70" spans="1:19" x14ac:dyDescent="0.35">
      <c r="A70" s="105" t="s">
        <v>88</v>
      </c>
      <c r="B70" s="98" t="s">
        <v>37</v>
      </c>
      <c r="C70" s="98">
        <f>'Cost Rate Tables'!$C$13*C28</f>
        <v>24215.570189516959</v>
      </c>
      <c r="D70" s="98">
        <f>'Cost Rate Tables'!$C$13*D28</f>
        <v>20203.147908343766</v>
      </c>
      <c r="E70" s="98">
        <f>E29*E28</f>
        <v>31603.554937001121</v>
      </c>
      <c r="F70" s="98">
        <f t="shared" ref="F70:L70" si="21">F29*F28</f>
        <v>32598.942494072027</v>
      </c>
      <c r="G70" s="98">
        <f t="shared" si="21"/>
        <v>16832.122705125199</v>
      </c>
      <c r="H70" s="98">
        <f t="shared" si="21"/>
        <v>16832.122705125199</v>
      </c>
      <c r="I70" s="98">
        <f t="shared" si="21"/>
        <v>16832.122705125199</v>
      </c>
      <c r="J70" s="98">
        <f t="shared" si="21"/>
        <v>16832.122705125199</v>
      </c>
      <c r="K70" s="98">
        <f t="shared" si="21"/>
        <v>16832.122705125199</v>
      </c>
      <c r="L70" s="98">
        <f t="shared" si="21"/>
        <v>8079.1081635307282</v>
      </c>
      <c r="M70" s="98">
        <f t="shared" ref="M70:S70" si="22">M29*M28</f>
        <v>8346.7286214476844</v>
      </c>
      <c r="N70" s="98">
        <f t="shared" si="22"/>
        <v>8346.7286214476844</v>
      </c>
      <c r="O70" s="98">
        <f t="shared" si="22"/>
        <v>8079.1081635307282</v>
      </c>
      <c r="P70" s="98">
        <f t="shared" si="22"/>
        <v>8346.7286214476844</v>
      </c>
      <c r="Q70" s="98">
        <f t="shared" si="22"/>
        <v>16832.122705125199</v>
      </c>
      <c r="R70" s="98">
        <f t="shared" si="22"/>
        <v>33387.626586670536</v>
      </c>
      <c r="S70" s="98">
        <f t="shared" si="22"/>
        <v>31603.554937001121</v>
      </c>
    </row>
    <row r="71" spans="1:19" x14ac:dyDescent="0.35">
      <c r="A71" s="105" t="s">
        <v>89</v>
      </c>
      <c r="B71" s="98" t="s">
        <v>37</v>
      </c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</row>
    <row r="72" spans="1:19" x14ac:dyDescent="0.35">
      <c r="A72" s="105" t="s">
        <v>90</v>
      </c>
      <c r="B72" s="98" t="s">
        <v>37</v>
      </c>
      <c r="C72" s="98">
        <f>IF(C33="C45",'Cost Rate Tables'!C15,IF(C33="42CrMo4+QT",'Cost Rate Tables'!C16,'Cost Rate Tables'!C15))*C34</f>
        <v>83179.584430320057</v>
      </c>
      <c r="D72" s="98">
        <f>IF(D33="C45",'Cost Rate Tables'!C15,IF(D33="42CrMo4+QT",'Cost Rate Tables'!C16,'Cost Rate Tables'!C15))*D34</f>
        <v>77649.513157754816</v>
      </c>
      <c r="E72" s="98">
        <f>E35*E34</f>
        <v>109265.5321343617</v>
      </c>
      <c r="F72" s="98">
        <f t="shared" ref="F72:L72" si="23">F35*F34</f>
        <v>123181.79816557858</v>
      </c>
      <c r="G72" s="98">
        <f t="shared" si="23"/>
        <v>80351.249660000161</v>
      </c>
      <c r="H72" s="98">
        <f t="shared" si="23"/>
        <v>106305.78045245503</v>
      </c>
      <c r="I72" s="98">
        <f t="shared" si="23"/>
        <v>80351.249660000161</v>
      </c>
      <c r="J72" s="98">
        <f t="shared" si="23"/>
        <v>106305.78045245503</v>
      </c>
      <c r="K72" s="98">
        <f t="shared" si="23"/>
        <v>80351.249660000161</v>
      </c>
      <c r="L72" s="98">
        <f t="shared" si="23"/>
        <v>48443.286948670422</v>
      </c>
      <c r="M72" s="98">
        <f t="shared" ref="M72:S72" si="24">M35*M34</f>
        <v>67728.752922088286</v>
      </c>
      <c r="N72" s="98">
        <f t="shared" si="24"/>
        <v>94928.573179951476</v>
      </c>
      <c r="O72" s="98">
        <f t="shared" si="24"/>
        <v>42777.405434206055</v>
      </c>
      <c r="P72" s="98">
        <f t="shared" si="24"/>
        <v>51601.743260076059</v>
      </c>
      <c r="Q72" s="98">
        <f t="shared" si="24"/>
        <v>71438.188133655145</v>
      </c>
      <c r="R72" s="98">
        <f t="shared" si="24"/>
        <v>118867.19928061962</v>
      </c>
      <c r="S72" s="98">
        <f t="shared" si="24"/>
        <v>121513.58588393616</v>
      </c>
    </row>
    <row r="73" spans="1:19" x14ac:dyDescent="0.35">
      <c r="A73" s="105" t="s">
        <v>91</v>
      </c>
      <c r="B73" s="98" t="s">
        <v>37</v>
      </c>
      <c r="C73" s="98">
        <f>C21*'Cost Rate Tables'!$C$17</f>
        <v>3530.7494653859999</v>
      </c>
      <c r="D73" s="98">
        <f>D21*'Cost Rate Tables'!$C$17</f>
        <v>2909.8109808494996</v>
      </c>
      <c r="E73" s="98">
        <f>E21*'Cost Rate Tables'!$C$17</f>
        <v>3811.6822205280005</v>
      </c>
      <c r="F73" s="98">
        <f>F21*'Cost Rate Tables'!$C$17</f>
        <v>3811.6822205280005</v>
      </c>
      <c r="G73" s="98">
        <f>G21*'Cost Rate Tables'!$C$17</f>
        <v>3728.8195635599996</v>
      </c>
      <c r="H73" s="98">
        <f>H21*'Cost Rate Tables'!$C$17</f>
        <v>3546.8176562910003</v>
      </c>
      <c r="I73" s="98">
        <f>I21*'Cost Rate Tables'!$C$17</f>
        <v>2920.9086581219999</v>
      </c>
      <c r="J73" s="98">
        <f>J21*'Cost Rate Tables'!$C$17</f>
        <v>2792.1756017610001</v>
      </c>
      <c r="K73" s="98">
        <f>K21*'Cost Rate Tables'!$C$17</f>
        <v>2546.9763250427995</v>
      </c>
      <c r="L73" s="98">
        <f>L21*'Cost Rate Tables'!$C$17</f>
        <v>2546.9763250427995</v>
      </c>
      <c r="M73" s="98">
        <f>M21*'Cost Rate Tables'!$C$17</f>
        <v>3168.4462523027996</v>
      </c>
      <c r="N73" s="98">
        <f>N21*'Cost Rate Tables'!$C$17</f>
        <v>3408.3061352063992</v>
      </c>
      <c r="O73" s="98">
        <f>O21*'Cost Rate Tables'!$C$17</f>
        <v>2183.1225643223997</v>
      </c>
      <c r="P73" s="98">
        <f>P21*'Cost Rate Tables'!$C$17</f>
        <v>2715.8110734023999</v>
      </c>
      <c r="Q73" s="98">
        <f>Q21*'Cost Rate Tables'!$C$17</f>
        <v>3408.3061352063992</v>
      </c>
      <c r="R73" s="98">
        <f>R21*'Cost Rate Tables'!$C$17</f>
        <v>4313.8766006424003</v>
      </c>
      <c r="S73" s="98">
        <f>S21*'Cost Rate Tables'!$C$17</f>
        <v>3514.8438370224003</v>
      </c>
    </row>
    <row r="74" spans="1:19" x14ac:dyDescent="0.35">
      <c r="A74" s="105" t="s">
        <v>663</v>
      </c>
      <c r="B74" s="98" t="s">
        <v>37</v>
      </c>
      <c r="C74" s="98">
        <f>C28*'Cost Rate Tables'!$C$18</f>
        <v>3246.8692769512536</v>
      </c>
      <c r="D74" s="98">
        <f>D28*'Cost Rate Tables'!$C$18</f>
        <v>2708.8761374572387</v>
      </c>
      <c r="E74" s="98">
        <f>E28*'Cost Rate Tables'!$C$18</f>
        <v>2708.8761374572387</v>
      </c>
      <c r="F74" s="98">
        <f>F28*'Cost Rate Tables'!$C$18</f>
        <v>2794.1950709204593</v>
      </c>
      <c r="G74" s="98">
        <f>G28*'Cost Rate Tables'!$C$18</f>
        <v>1442.753374725017</v>
      </c>
      <c r="H74" s="98">
        <f>H28*'Cost Rate Tables'!$C$18</f>
        <v>1442.753374725017</v>
      </c>
      <c r="I74" s="98">
        <f>I28*'Cost Rate Tables'!$C$18</f>
        <v>1442.753374725017</v>
      </c>
      <c r="J74" s="98">
        <f>J28*'Cost Rate Tables'!$C$18</f>
        <v>1442.753374725017</v>
      </c>
      <c r="K74" s="98">
        <f>K28*'Cost Rate Tables'!$C$18</f>
        <v>1442.753374725017</v>
      </c>
      <c r="L74" s="98">
        <f>L28*'Cost Rate Tables'!$C$18</f>
        <v>692.49498544549101</v>
      </c>
      <c r="M74" s="98">
        <f>M28*'Cost Rate Tables'!$C$18</f>
        <v>715.43388183837294</v>
      </c>
      <c r="N74" s="98">
        <f>N28*'Cost Rate Tables'!$C$18</f>
        <v>715.43388183837294</v>
      </c>
      <c r="O74" s="98">
        <f>O28*'Cost Rate Tables'!$C$18</f>
        <v>692.49498544549101</v>
      </c>
      <c r="P74" s="98">
        <f>P28*'Cost Rate Tables'!$C$18</f>
        <v>715.43388183837294</v>
      </c>
      <c r="Q74" s="98">
        <f>Q28*'Cost Rate Tables'!$C$18</f>
        <v>1442.753374725017</v>
      </c>
      <c r="R74" s="98">
        <f>R28*'Cost Rate Tables'!$C$18</f>
        <v>2861.7965645717604</v>
      </c>
      <c r="S74" s="98">
        <f>S28*'Cost Rate Tables'!$C$18</f>
        <v>2708.8761374572387</v>
      </c>
    </row>
    <row r="75" spans="1:19" ht="21.75" customHeight="1" x14ac:dyDescent="0.35">
      <c r="A75" s="10" t="s">
        <v>92</v>
      </c>
      <c r="B75" s="11"/>
      <c r="C75" s="12">
        <f>SUM(C69:C74)</f>
        <v>178903.18022758426</v>
      </c>
      <c r="D75" s="12">
        <f t="shared" ref="D75:L75" si="25">SUM(D69:D74)</f>
        <v>156817.88283331282</v>
      </c>
      <c r="E75" s="12">
        <f t="shared" si="25"/>
        <v>217270.48613902804</v>
      </c>
      <c r="F75" s="12">
        <f t="shared" si="25"/>
        <v>232267.45866077908</v>
      </c>
      <c r="G75" s="12">
        <f t="shared" si="25"/>
        <v>170716.63730201041</v>
      </c>
      <c r="H75" s="12">
        <f t="shared" si="25"/>
        <v>193152.46455393126</v>
      </c>
      <c r="I75" s="12">
        <f t="shared" si="25"/>
        <v>155097.0264635424</v>
      </c>
      <c r="J75" s="12">
        <f t="shared" si="25"/>
        <v>178562.71816635126</v>
      </c>
      <c r="K75" s="12">
        <f t="shared" si="25"/>
        <v>147867.66802401119</v>
      </c>
      <c r="L75" s="12">
        <f t="shared" si="25"/>
        <v>106456.43238180743</v>
      </c>
      <c r="M75" s="12">
        <f t="shared" ref="M75:S75" si="26">SUM(M69:M74)</f>
        <v>138047.54296989512</v>
      </c>
      <c r="N75" s="12">
        <f t="shared" si="26"/>
        <v>169884.65429722791</v>
      </c>
      <c r="O75" s="12">
        <f t="shared" si="26"/>
        <v>93756.044826748664</v>
      </c>
      <c r="P75" s="12">
        <f t="shared" si="26"/>
        <v>113169.58651580851</v>
      </c>
      <c r="Q75" s="12">
        <f t="shared" si="26"/>
        <v>155606.98282749575</v>
      </c>
      <c r="R75" s="12">
        <f t="shared" si="26"/>
        <v>238518.23671094832</v>
      </c>
      <c r="S75" s="12">
        <f t="shared" si="26"/>
        <v>223779.66447416093</v>
      </c>
    </row>
    <row r="77" spans="1:19" ht="21.75" customHeight="1" x14ac:dyDescent="0.35">
      <c r="A77" s="168" t="s">
        <v>93</v>
      </c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70"/>
      <c r="M77" s="170"/>
      <c r="N77" s="170"/>
      <c r="O77" s="170"/>
      <c r="P77" s="170"/>
      <c r="Q77" s="170"/>
      <c r="R77" s="170"/>
      <c r="S77" s="170"/>
    </row>
    <row r="78" spans="1:19" x14ac:dyDescent="0.35">
      <c r="A78" s="126" t="s">
        <v>94</v>
      </c>
      <c r="B78" s="127" t="s">
        <v>37</v>
      </c>
      <c r="C78" s="127">
        <f>(C38+C40)</f>
        <v>60000</v>
      </c>
      <c r="D78" s="127">
        <f t="shared" ref="D78:L78" si="27">(D38+D40)</f>
        <v>68000</v>
      </c>
      <c r="E78" s="127">
        <f t="shared" si="27"/>
        <v>60000</v>
      </c>
      <c r="F78" s="127">
        <f t="shared" si="27"/>
        <v>100644</v>
      </c>
      <c r="G78" s="127">
        <f t="shared" si="27"/>
        <v>47186</v>
      </c>
      <c r="H78" s="127">
        <f t="shared" si="27"/>
        <v>47186</v>
      </c>
      <c r="I78" s="127">
        <f t="shared" si="27"/>
        <v>47186</v>
      </c>
      <c r="J78" s="127">
        <f t="shared" si="27"/>
        <v>47186</v>
      </c>
      <c r="K78" s="127">
        <f t="shared" si="27"/>
        <v>47186</v>
      </c>
      <c r="L78" s="127">
        <f t="shared" si="27"/>
        <v>20468</v>
      </c>
      <c r="M78" s="127">
        <f t="shared" ref="M78:S78" si="28">(M38+M40)</f>
        <v>14712</v>
      </c>
      <c r="N78" s="127">
        <f t="shared" si="28"/>
        <v>47186</v>
      </c>
      <c r="O78" s="127">
        <f t="shared" si="28"/>
        <v>20468</v>
      </c>
      <c r="P78" s="127">
        <f t="shared" si="28"/>
        <v>14712</v>
      </c>
      <c r="Q78" s="127">
        <f t="shared" si="28"/>
        <v>47186</v>
      </c>
      <c r="R78" s="127">
        <f t="shared" si="28"/>
        <v>129800</v>
      </c>
      <c r="S78" s="127">
        <f t="shared" si="28"/>
        <v>60000</v>
      </c>
    </row>
    <row r="79" spans="1:19" x14ac:dyDescent="0.35">
      <c r="A79" s="126" t="s">
        <v>95</v>
      </c>
      <c r="B79" s="127" t="s">
        <v>37</v>
      </c>
      <c r="C79" s="127">
        <f t="shared" ref="C79:L79" si="29">2*C42</f>
        <v>10000</v>
      </c>
      <c r="D79" s="127">
        <f t="shared" si="29"/>
        <v>10000</v>
      </c>
      <c r="E79" s="127">
        <f t="shared" si="29"/>
        <v>10000</v>
      </c>
      <c r="F79" s="127">
        <f t="shared" si="29"/>
        <v>27628</v>
      </c>
      <c r="G79" s="127">
        <f>2*G42</f>
        <v>11632</v>
      </c>
      <c r="H79" s="127">
        <f t="shared" si="29"/>
        <v>11632</v>
      </c>
      <c r="I79" s="127">
        <f t="shared" si="29"/>
        <v>11632</v>
      </c>
      <c r="J79" s="127">
        <f t="shared" si="29"/>
        <v>11632</v>
      </c>
      <c r="K79" s="127">
        <f t="shared" si="29"/>
        <v>11632</v>
      </c>
      <c r="L79" s="127">
        <f t="shared" si="29"/>
        <v>2860</v>
      </c>
      <c r="M79" s="127">
        <f t="shared" ref="M79:S79" si="30">2*M42</f>
        <v>2928</v>
      </c>
      <c r="N79" s="127">
        <f t="shared" si="30"/>
        <v>11632</v>
      </c>
      <c r="O79" s="127">
        <f t="shared" si="30"/>
        <v>2860</v>
      </c>
      <c r="P79" s="127">
        <f t="shared" si="30"/>
        <v>2928</v>
      </c>
      <c r="Q79" s="127">
        <f t="shared" si="30"/>
        <v>11632</v>
      </c>
      <c r="R79" s="127">
        <f t="shared" si="30"/>
        <v>27628</v>
      </c>
      <c r="S79" s="127">
        <f t="shared" si="30"/>
        <v>10000</v>
      </c>
    </row>
    <row r="80" spans="1:19" x14ac:dyDescent="0.35">
      <c r="A80" s="126" t="s">
        <v>96</v>
      </c>
      <c r="B80" s="127" t="s">
        <v>37</v>
      </c>
      <c r="C80" s="127">
        <f t="shared" ref="C80:L80" si="31">2*C44</f>
        <v>79344</v>
      </c>
      <c r="D80" s="127">
        <f t="shared" si="31"/>
        <v>0</v>
      </c>
      <c r="E80" s="127">
        <f t="shared" si="31"/>
        <v>79344</v>
      </c>
      <c r="F80" s="127">
        <f t="shared" si="31"/>
        <v>96944</v>
      </c>
      <c r="G80" s="127">
        <f t="shared" si="31"/>
        <v>51532</v>
      </c>
      <c r="H80" s="127">
        <f t="shared" si="31"/>
        <v>51532</v>
      </c>
      <c r="I80" s="127">
        <f t="shared" si="31"/>
        <v>51532</v>
      </c>
      <c r="J80" s="127">
        <f t="shared" si="31"/>
        <v>51532</v>
      </c>
      <c r="K80" s="127">
        <f t="shared" si="31"/>
        <v>51532</v>
      </c>
      <c r="L80" s="127">
        <f t="shared" si="31"/>
        <v>18044</v>
      </c>
      <c r="M80" s="127">
        <f t="shared" ref="M80:S80" si="32">2*M44</f>
        <v>26114</v>
      </c>
      <c r="N80" s="127">
        <f t="shared" si="32"/>
        <v>51532</v>
      </c>
      <c r="O80" s="127">
        <f t="shared" si="32"/>
        <v>18044</v>
      </c>
      <c r="P80" s="127">
        <f t="shared" si="32"/>
        <v>26114</v>
      </c>
      <c r="Q80" s="127">
        <f t="shared" si="32"/>
        <v>51532</v>
      </c>
      <c r="R80" s="127">
        <f t="shared" si="32"/>
        <v>72000</v>
      </c>
      <c r="S80" s="127">
        <f t="shared" si="32"/>
        <v>0</v>
      </c>
    </row>
    <row r="81" spans="1:19" x14ac:dyDescent="0.35">
      <c r="A81" s="126" t="s">
        <v>97</v>
      </c>
      <c r="B81" s="127" t="s">
        <v>37</v>
      </c>
      <c r="C81" s="127">
        <f>C56*2</f>
        <v>140000</v>
      </c>
      <c r="D81" s="127">
        <f>D56*2</f>
        <v>140000</v>
      </c>
      <c r="E81" s="127">
        <f t="shared" ref="E81:L81" si="33">E56*2</f>
        <v>140000</v>
      </c>
      <c r="F81" s="127">
        <f t="shared" si="33"/>
        <v>160000</v>
      </c>
      <c r="G81" s="127">
        <f t="shared" si="33"/>
        <v>100000</v>
      </c>
      <c r="H81" s="127">
        <f t="shared" si="33"/>
        <v>100000</v>
      </c>
      <c r="I81" s="127">
        <f t="shared" si="33"/>
        <v>100000</v>
      </c>
      <c r="J81" s="127">
        <f t="shared" si="33"/>
        <v>100000</v>
      </c>
      <c r="K81" s="127">
        <f t="shared" si="33"/>
        <v>100000</v>
      </c>
      <c r="L81" s="127">
        <f t="shared" si="33"/>
        <v>60000</v>
      </c>
      <c r="M81" s="127">
        <f t="shared" ref="M81:S81" si="34">M56*2</f>
        <v>80000</v>
      </c>
      <c r="N81" s="127">
        <f t="shared" si="34"/>
        <v>0</v>
      </c>
      <c r="O81" s="127">
        <f t="shared" si="34"/>
        <v>60000</v>
      </c>
      <c r="P81" s="127">
        <f t="shared" si="34"/>
        <v>80000</v>
      </c>
      <c r="Q81" s="127">
        <f t="shared" si="34"/>
        <v>100000</v>
      </c>
      <c r="R81" s="127">
        <f t="shared" si="34"/>
        <v>160000</v>
      </c>
      <c r="S81" s="127">
        <f t="shared" si="34"/>
        <v>140000</v>
      </c>
    </row>
    <row r="82" spans="1:19" x14ac:dyDescent="0.35">
      <c r="A82" s="126" t="s">
        <v>98</v>
      </c>
      <c r="B82" s="127" t="s">
        <v>37</v>
      </c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</row>
    <row r="83" spans="1:19" x14ac:dyDescent="0.35">
      <c r="A83" s="126" t="s">
        <v>99</v>
      </c>
      <c r="B83" s="127" t="s">
        <v>37</v>
      </c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</row>
    <row r="84" spans="1:19" ht="21.75" customHeight="1" x14ac:dyDescent="0.35">
      <c r="A84" s="107" t="s">
        <v>100</v>
      </c>
      <c r="B84" s="108"/>
      <c r="C84" s="109">
        <f>SUM(C78:C83)</f>
        <v>289344</v>
      </c>
      <c r="D84" s="109">
        <f t="shared" ref="D84:L84" si="35">SUM(D78:D83)</f>
        <v>218000</v>
      </c>
      <c r="E84" s="109">
        <f t="shared" si="35"/>
        <v>289344</v>
      </c>
      <c r="F84" s="109">
        <f t="shared" si="35"/>
        <v>385216</v>
      </c>
      <c r="G84" s="109">
        <f t="shared" si="35"/>
        <v>210350</v>
      </c>
      <c r="H84" s="109">
        <f t="shared" si="35"/>
        <v>210350</v>
      </c>
      <c r="I84" s="109">
        <f t="shared" si="35"/>
        <v>210350</v>
      </c>
      <c r="J84" s="109">
        <f t="shared" si="35"/>
        <v>210350</v>
      </c>
      <c r="K84" s="109">
        <f t="shared" si="35"/>
        <v>210350</v>
      </c>
      <c r="L84" s="109">
        <f t="shared" si="35"/>
        <v>101372</v>
      </c>
      <c r="M84" s="109">
        <f t="shared" ref="M84:S84" si="36">SUM(M78:M83)</f>
        <v>123754</v>
      </c>
      <c r="N84" s="109">
        <f t="shared" si="36"/>
        <v>110350</v>
      </c>
      <c r="O84" s="109">
        <f t="shared" si="36"/>
        <v>101372</v>
      </c>
      <c r="P84" s="109">
        <f t="shared" si="36"/>
        <v>123754</v>
      </c>
      <c r="Q84" s="109">
        <f t="shared" si="36"/>
        <v>210350</v>
      </c>
      <c r="R84" s="109">
        <f t="shared" si="36"/>
        <v>389428</v>
      </c>
      <c r="S84" s="109">
        <f t="shared" si="36"/>
        <v>210000</v>
      </c>
    </row>
    <row r="86" spans="1:19" ht="21.75" customHeight="1" x14ac:dyDescent="0.35">
      <c r="A86" s="167" t="s">
        <v>101</v>
      </c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</row>
    <row r="87" spans="1:19" x14ac:dyDescent="0.35">
      <c r="A87" s="112" t="s">
        <v>639</v>
      </c>
      <c r="B87" s="113" t="s">
        <v>37</v>
      </c>
      <c r="C87" s="114">
        <f>_xlfn.IFNA(VLOOKUP($A87,'In-House Hours'!$D$5:$BU$10,6+(COLUMN(A87)-1)*4,FALSE),0)</f>
        <v>42666.161542610163</v>
      </c>
      <c r="D87" s="114">
        <f>_xlfn.IFNA(VLOOKUP($A87,'In-House Hours'!$D$5:$BU$10,6+(COLUMN(B87)-1)*4,FALSE),0)</f>
        <v>42666.161542610163</v>
      </c>
      <c r="E87" s="114">
        <f>_xlfn.IFNA(VLOOKUP($A87,'In-House Hours'!$D$5:$BU$10,6+(COLUMN(C87)-1)*4,FALSE),0)</f>
        <v>42666.161542610163</v>
      </c>
      <c r="F87" s="114">
        <f>_xlfn.IFNA(VLOOKUP($A87,'In-House Hours'!$D$5:$BU$10,6+(COLUMN(D87)-1)*4,FALSE),0)</f>
        <v>42666.161542610163</v>
      </c>
      <c r="G87" s="114">
        <f>_xlfn.IFNA(VLOOKUP($A87,'In-House Hours'!$D$5:$BU$10,6+(COLUMN(E87)-1)*4,FALSE),0)</f>
        <v>42666.161542610163</v>
      </c>
      <c r="H87" s="114">
        <f>_xlfn.IFNA(VLOOKUP($A87,'In-House Hours'!$D$5:$BU$10,6+(COLUMN(F87)-1)*4,FALSE),0)</f>
        <v>42666.161542610163</v>
      </c>
      <c r="I87" s="114">
        <f>_xlfn.IFNA(VLOOKUP($A87,'In-House Hours'!$D$5:$BU$10,6+(COLUMN(G87)-1)*4,FALSE),0)</f>
        <v>42666.161542610163</v>
      </c>
      <c r="J87" s="114">
        <f>_xlfn.IFNA(VLOOKUP($A87,'In-House Hours'!$D$5:$BU$10,6+(COLUMN(H87)-1)*4,FALSE),0)</f>
        <v>42666.161542610163</v>
      </c>
      <c r="K87" s="114">
        <f>_xlfn.IFNA(VLOOKUP($A87,'In-House Hours'!$D$5:$BU$10,6+(COLUMN(I87)-1)*4,FALSE),0)</f>
        <v>42666.161542610163</v>
      </c>
      <c r="L87" s="114">
        <f>_xlfn.IFNA(VLOOKUP($A87,'In-House Hours'!$D$5:$BU$10,6+(COLUMN(J87)-1)*4,FALSE),0)</f>
        <v>42666.161542610163</v>
      </c>
      <c r="M87" s="114">
        <f>_xlfn.IFNA(VLOOKUP($A87,'In-House Hours'!$D$5:$BU$10,6+(COLUMN(K87)-1)*4,FALSE),0)</f>
        <v>42666.161542610163</v>
      </c>
      <c r="N87" s="114">
        <f>_xlfn.IFNA(VLOOKUP($A87,'In-House Hours'!$D$5:$BU$10,6+(COLUMN(L87)-1)*4,FALSE),0)</f>
        <v>42666.161542610163</v>
      </c>
      <c r="O87" s="114">
        <f>_xlfn.IFNA(VLOOKUP($A87,'In-House Hours'!$D$5:$BU$10,6+(COLUMN(M87)-1)*4,FALSE),0)</f>
        <v>42666.161542610163</v>
      </c>
      <c r="P87" s="114">
        <f>_xlfn.IFNA(VLOOKUP($A87,'In-House Hours'!$D$5:$BU$10,6+(COLUMN(N87)-1)*4,FALSE),0)</f>
        <v>42666.161542610163</v>
      </c>
      <c r="Q87" s="114">
        <f>_xlfn.IFNA(VLOOKUP($A87,'In-House Hours'!$D$5:$BU$10,6+(COLUMN(O87)-1)*4,FALSE),0)</f>
        <v>42666.161542610163</v>
      </c>
      <c r="R87" s="114">
        <f>_xlfn.IFNA(VLOOKUP($A87,'In-House Hours'!$D$5:$BU$10,6+(COLUMN(P87)-1)*4,FALSE),0)</f>
        <v>42666.161542610163</v>
      </c>
      <c r="S87" s="114">
        <f>_xlfn.IFNA(VLOOKUP($A87,'In-House Hours'!$D$5:$BU$10,6+(COLUMN(Q87)-1)*4,FALSE),0)</f>
        <v>42666.161542610163</v>
      </c>
    </row>
    <row r="88" spans="1:19" x14ac:dyDescent="0.35">
      <c r="A88" s="112" t="s">
        <v>640</v>
      </c>
      <c r="B88" s="113" t="s">
        <v>37</v>
      </c>
      <c r="C88" s="114">
        <f>_xlfn.IFNA(VLOOKUP($A88,'In-House Hours'!$D$5:$BU$10,6+(COLUMN(A88)-1)*4,FALSE),0)</f>
        <v>101513.90295413391</v>
      </c>
      <c r="D88" s="114">
        <f>_xlfn.IFNA(VLOOKUP($A88,'In-House Hours'!$D$5:$BU$10,6+(COLUMN(B88)-1)*4,FALSE),0)</f>
        <v>101513.90295413391</v>
      </c>
      <c r="E88" s="114">
        <f>_xlfn.IFNA(VLOOKUP($A88,'In-House Hours'!$D$5:$BU$10,6+(COLUMN(C88)-1)*4,FALSE),0)</f>
        <v>101513.90295413391</v>
      </c>
      <c r="F88" s="114">
        <f>_xlfn.IFNA(VLOOKUP($A88,'In-House Hours'!$D$5:$BU$10,6+(COLUMN(D88)-1)*4,FALSE),0)</f>
        <v>71844.380593143083</v>
      </c>
      <c r="G88" s="114">
        <f>_xlfn.IFNA(VLOOKUP($A88,'In-House Hours'!$D$5:$BU$10,6+(COLUMN(E88)-1)*4,FALSE),0)</f>
        <v>101513.90295413391</v>
      </c>
      <c r="H88" s="114">
        <f>_xlfn.IFNA(VLOOKUP($A88,'In-House Hours'!$D$5:$BU$10,6+(COLUMN(F88)-1)*4,FALSE),0)</f>
        <v>101513.90295413391</v>
      </c>
      <c r="I88" s="114">
        <f>_xlfn.IFNA(VLOOKUP($A88,'In-House Hours'!$D$5:$BU$10,6+(COLUMN(G88)-1)*4,FALSE),0)</f>
        <v>101513.90295413391</v>
      </c>
      <c r="J88" s="114">
        <f>_xlfn.IFNA(VLOOKUP($A88,'In-House Hours'!$D$5:$BU$10,6+(COLUMN(H88)-1)*4,FALSE),0)</f>
        <v>101513.90295413391</v>
      </c>
      <c r="K88" s="114">
        <f>_xlfn.IFNA(VLOOKUP($A88,'In-House Hours'!$D$5:$BU$10,6+(COLUMN(I88)-1)*4,FALSE),0)</f>
        <v>101513.90295413391</v>
      </c>
      <c r="L88" s="114">
        <f>_xlfn.IFNA(VLOOKUP($A88,'In-House Hours'!$D$5:$BU$10,6+(COLUMN(J88)-1)*4,FALSE),0)</f>
        <v>101513.90295413391</v>
      </c>
      <c r="M88" s="114">
        <f>_xlfn.IFNA(VLOOKUP($A88,'In-House Hours'!$D$5:$BU$10,6+(COLUMN(K88)-1)*4,FALSE),0)</f>
        <v>101513.90295413391</v>
      </c>
      <c r="N88" s="114">
        <f>_xlfn.IFNA(VLOOKUP($A88,'In-House Hours'!$D$5:$BU$10,6+(COLUMN(L88)-1)*4,FALSE),0)</f>
        <v>101513.90295413391</v>
      </c>
      <c r="O88" s="114">
        <f>_xlfn.IFNA(VLOOKUP($A88,'In-House Hours'!$D$5:$BU$10,6+(COLUMN(M88)-1)*4,FALSE),0)</f>
        <v>101513.90295413391</v>
      </c>
      <c r="P88" s="114">
        <f>_xlfn.IFNA(VLOOKUP($A88,'In-House Hours'!$D$5:$BU$10,6+(COLUMN(N88)-1)*4,FALSE),0)</f>
        <v>101513.90295413391</v>
      </c>
      <c r="Q88" s="114">
        <f>_xlfn.IFNA(VLOOKUP($A88,'In-House Hours'!$D$5:$BU$10,6+(COLUMN(O88)-1)*4,FALSE),0)</f>
        <v>101513.90295413391</v>
      </c>
      <c r="R88" s="114">
        <f>_xlfn.IFNA(VLOOKUP($A88,'In-House Hours'!$D$5:$BU$10,6+(COLUMN(P88)-1)*4,FALSE),0)</f>
        <v>101513.90295413391</v>
      </c>
      <c r="S88" s="114">
        <f>_xlfn.IFNA(VLOOKUP($A88,'In-House Hours'!$D$5:$BU$10,6+(COLUMN(Q88)-1)*4,FALSE),0)</f>
        <v>101513.90295413391</v>
      </c>
    </row>
    <row r="89" spans="1:19" x14ac:dyDescent="0.35">
      <c r="A89" s="112" t="s">
        <v>641</v>
      </c>
      <c r="B89" s="113" t="s">
        <v>37</v>
      </c>
      <c r="C89" s="114">
        <f>_xlfn.IFNA(VLOOKUP($A89,'In-House Hours'!$D$5:$BU$10,6+(COLUMN(A89)-1)*4,FALSE),0)</f>
        <v>43753.948340526062</v>
      </c>
      <c r="D89" s="114">
        <f>_xlfn.IFNA(VLOOKUP($A89,'In-House Hours'!$D$5:$BU$10,6+(COLUMN(B89)-1)*4,FALSE),0)</f>
        <v>43753.948340526062</v>
      </c>
      <c r="E89" s="114">
        <f>_xlfn.IFNA(VLOOKUP($A89,'In-House Hours'!$D$5:$BU$10,6+(COLUMN(C89)-1)*4,FALSE),0)</f>
        <v>43753.948340526062</v>
      </c>
      <c r="F89" s="114">
        <f>_xlfn.IFNA(VLOOKUP($A89,'In-House Hours'!$D$5:$BU$10,6+(COLUMN(D89)-1)*4,FALSE),0)</f>
        <v>43753.948340526062</v>
      </c>
      <c r="G89" s="114">
        <f>_xlfn.IFNA(VLOOKUP($A89,'In-House Hours'!$D$5:$BU$10,6+(COLUMN(E89)-1)*4,FALSE),0)</f>
        <v>43753.948340526062</v>
      </c>
      <c r="H89" s="114">
        <f>_xlfn.IFNA(VLOOKUP($A89,'In-House Hours'!$D$5:$BU$10,6+(COLUMN(F89)-1)*4,FALSE),0)</f>
        <v>43753.948340526062</v>
      </c>
      <c r="I89" s="114">
        <f>_xlfn.IFNA(VLOOKUP($A89,'In-House Hours'!$D$5:$BU$10,6+(COLUMN(G89)-1)*4,FALSE),0)</f>
        <v>43753.948340526062</v>
      </c>
      <c r="J89" s="114">
        <f>_xlfn.IFNA(VLOOKUP($A89,'In-House Hours'!$D$5:$BU$10,6+(COLUMN(H89)-1)*4,FALSE),0)</f>
        <v>43753.948340526062</v>
      </c>
      <c r="K89" s="114">
        <f>_xlfn.IFNA(VLOOKUP($A89,'In-House Hours'!$D$5:$BU$10,6+(COLUMN(I89)-1)*4,FALSE),0)</f>
        <v>43753.948340526062</v>
      </c>
      <c r="L89" s="114">
        <f>_xlfn.IFNA(VLOOKUP($A89,'In-House Hours'!$D$5:$BU$10,6+(COLUMN(J89)-1)*4,FALSE),0)</f>
        <v>43753.948340526062</v>
      </c>
      <c r="M89" s="114">
        <f>_xlfn.IFNA(VLOOKUP($A89,'In-House Hours'!$D$5:$BU$10,6+(COLUMN(K89)-1)*4,FALSE),0)</f>
        <v>43753.948340526062</v>
      </c>
      <c r="N89" s="114">
        <f>_xlfn.IFNA(VLOOKUP($A89,'In-House Hours'!$D$5:$BU$10,6+(COLUMN(L89)-1)*4,FALSE),0)</f>
        <v>43753.948340526062</v>
      </c>
      <c r="O89" s="114">
        <f>_xlfn.IFNA(VLOOKUP($A89,'In-House Hours'!$D$5:$BU$10,6+(COLUMN(M89)-1)*4,FALSE),0)</f>
        <v>43753.948340526062</v>
      </c>
      <c r="P89" s="114">
        <f>_xlfn.IFNA(VLOOKUP($A89,'In-House Hours'!$D$5:$BU$10,6+(COLUMN(N89)-1)*4,FALSE),0)</f>
        <v>43753.948340526062</v>
      </c>
      <c r="Q89" s="114">
        <f>_xlfn.IFNA(VLOOKUP($A89,'In-House Hours'!$D$5:$BU$10,6+(COLUMN(O89)-1)*4,FALSE),0)</f>
        <v>43753.948340526062</v>
      </c>
      <c r="R89" s="114">
        <f>_xlfn.IFNA(VLOOKUP($A89,'In-House Hours'!$D$5:$BU$10,6+(COLUMN(P89)-1)*4,FALSE),0)</f>
        <v>43753.948340526062</v>
      </c>
      <c r="S89" s="114">
        <f>_xlfn.IFNA(VLOOKUP($A89,'In-House Hours'!$D$5:$BU$10,6+(COLUMN(Q89)-1)*4,FALSE),0)</f>
        <v>43753.948340526062</v>
      </c>
    </row>
    <row r="90" spans="1:19" x14ac:dyDescent="0.35">
      <c r="A90" s="112" t="s">
        <v>642</v>
      </c>
      <c r="B90" s="113" t="s">
        <v>37</v>
      </c>
      <c r="C90" s="114">
        <f>_xlfn.IFNA(VLOOKUP($A90,'In-House Hours'!$D$5:$BU$10,6+(COLUMN(A90)-1)*4,FALSE),0)</f>
        <v>31172.385997721438</v>
      </c>
      <c r="D90" s="114">
        <f>_xlfn.IFNA(VLOOKUP($A90,'In-House Hours'!$D$5:$BU$10,6+(COLUMN(B90)-1)*4,FALSE),0)</f>
        <v>31172.385997721438</v>
      </c>
      <c r="E90" s="114">
        <f>_xlfn.IFNA(VLOOKUP($A90,'In-House Hours'!$D$5:$BU$10,6+(COLUMN(C90)-1)*4,FALSE),0)</f>
        <v>31172.385997721438</v>
      </c>
      <c r="F90" s="114">
        <f>_xlfn.IFNA(VLOOKUP($A90,'In-House Hours'!$D$5:$BU$10,6+(COLUMN(D90)-1)*4,FALSE),0)</f>
        <v>31172.385997721438</v>
      </c>
      <c r="G90" s="114">
        <f>_xlfn.IFNA(VLOOKUP($A90,'In-House Hours'!$D$5:$BU$10,6+(COLUMN(E90)-1)*4,FALSE),0)</f>
        <v>31172.385997721438</v>
      </c>
      <c r="H90" s="114">
        <f>_xlfn.IFNA(VLOOKUP($A90,'In-House Hours'!$D$5:$BU$10,6+(COLUMN(F90)-1)*4,FALSE),0)</f>
        <v>31172.385997721438</v>
      </c>
      <c r="I90" s="114">
        <f>_xlfn.IFNA(VLOOKUP($A90,'In-House Hours'!$D$5:$BU$10,6+(COLUMN(G90)-1)*4,FALSE),0)</f>
        <v>31172.385997721438</v>
      </c>
      <c r="J90" s="114">
        <f>_xlfn.IFNA(VLOOKUP($A90,'In-House Hours'!$D$5:$BU$10,6+(COLUMN(H90)-1)*4,FALSE),0)</f>
        <v>31172.385997721438</v>
      </c>
      <c r="K90" s="114">
        <f>_xlfn.IFNA(VLOOKUP($A90,'In-House Hours'!$D$5:$BU$10,6+(COLUMN(I90)-1)*4,FALSE),0)</f>
        <v>31172.385997721438</v>
      </c>
      <c r="L90" s="114">
        <f>_xlfn.IFNA(VLOOKUP($A90,'In-House Hours'!$D$5:$BU$10,6+(COLUMN(J90)-1)*4,FALSE),0)</f>
        <v>31172.385997721438</v>
      </c>
      <c r="M90" s="114">
        <f>_xlfn.IFNA(VLOOKUP($A90,'In-House Hours'!$D$5:$BU$10,6+(COLUMN(K90)-1)*4,FALSE),0)</f>
        <v>31172.385997721438</v>
      </c>
      <c r="N90" s="114">
        <f>_xlfn.IFNA(VLOOKUP($A90,'In-House Hours'!$D$5:$BU$10,6+(COLUMN(L90)-1)*4,FALSE),0)</f>
        <v>31172.385997721438</v>
      </c>
      <c r="O90" s="114">
        <f>_xlfn.IFNA(VLOOKUP($A90,'In-House Hours'!$D$5:$BU$10,6+(COLUMN(M90)-1)*4,FALSE),0)</f>
        <v>31172.385997721438</v>
      </c>
      <c r="P90" s="114">
        <f>_xlfn.IFNA(VLOOKUP($A90,'In-House Hours'!$D$5:$BU$10,6+(COLUMN(N90)-1)*4,FALSE),0)</f>
        <v>31172.385997721438</v>
      </c>
      <c r="Q90" s="114">
        <f>_xlfn.IFNA(VLOOKUP($A90,'In-House Hours'!$D$5:$BU$10,6+(COLUMN(O90)-1)*4,FALSE),0)</f>
        <v>31172.385997721438</v>
      </c>
      <c r="R90" s="114">
        <f>_xlfn.IFNA(VLOOKUP($A90,'In-House Hours'!$D$5:$BU$10,6+(COLUMN(P90)-1)*4,FALSE),0)</f>
        <v>31172.385997721438</v>
      </c>
      <c r="S90" s="114">
        <f>_xlfn.IFNA(VLOOKUP($A90,'In-House Hours'!$D$5:$BU$10,6+(COLUMN(Q90)-1)*4,FALSE),0)</f>
        <v>31172.385997721438</v>
      </c>
    </row>
    <row r="91" spans="1:19" x14ac:dyDescent="0.35">
      <c r="A91" s="112" t="s">
        <v>643</v>
      </c>
      <c r="B91" s="113" t="s">
        <v>37</v>
      </c>
      <c r="C91" s="114">
        <f>_xlfn.IFNA(VLOOKUP($A91,'In-House Hours'!$D$5:$BU$10,6+(COLUMN(A91)-1)*4,FALSE),0)</f>
        <v>19826.839654214815</v>
      </c>
      <c r="D91" s="114">
        <f>_xlfn.IFNA(VLOOKUP($A91,'In-House Hours'!$D$5:$BU$10,6+(COLUMN(B91)-1)*4,FALSE),0)</f>
        <v>19826.839654214815</v>
      </c>
      <c r="E91" s="114">
        <f>_xlfn.IFNA(VLOOKUP($A91,'In-House Hours'!$D$5:$BU$10,6+(COLUMN(C91)-1)*4,FALSE),0)</f>
        <v>19826.839654214815</v>
      </c>
      <c r="F91" s="114">
        <f>_xlfn.IFNA(VLOOKUP($A91,'In-House Hours'!$D$5:$BU$10,6+(COLUMN(D91)-1)*4,FALSE),0)</f>
        <v>19826.839654214815</v>
      </c>
      <c r="G91" s="114">
        <f>_xlfn.IFNA(VLOOKUP($A91,'In-House Hours'!$D$5:$BU$10,6+(COLUMN(E91)-1)*4,FALSE),0)</f>
        <v>19826.839654214815</v>
      </c>
      <c r="H91" s="114">
        <f>_xlfn.IFNA(VLOOKUP($A91,'In-House Hours'!$D$5:$BU$10,6+(COLUMN(F91)-1)*4,FALSE),0)</f>
        <v>19826.839654214815</v>
      </c>
      <c r="I91" s="114">
        <f>_xlfn.IFNA(VLOOKUP($A91,'In-House Hours'!$D$5:$BU$10,6+(COLUMN(G91)-1)*4,FALSE),0)</f>
        <v>19826.839654214815</v>
      </c>
      <c r="J91" s="114">
        <f>_xlfn.IFNA(VLOOKUP($A91,'In-House Hours'!$D$5:$BU$10,6+(COLUMN(H91)-1)*4,FALSE),0)</f>
        <v>19826.839654214815</v>
      </c>
      <c r="K91" s="114">
        <f>_xlfn.IFNA(VLOOKUP($A91,'In-House Hours'!$D$5:$BU$10,6+(COLUMN(I91)-1)*4,FALSE),0)</f>
        <v>19826.839654214815</v>
      </c>
      <c r="L91" s="114">
        <f>_xlfn.IFNA(VLOOKUP($A91,'In-House Hours'!$D$5:$BU$10,6+(COLUMN(J91)-1)*4,FALSE),0)</f>
        <v>19826.839654214815</v>
      </c>
      <c r="M91" s="114">
        <f>_xlfn.IFNA(VLOOKUP($A91,'In-House Hours'!$D$5:$BU$10,6+(COLUMN(K91)-1)*4,FALSE),0)</f>
        <v>19826.839654214815</v>
      </c>
      <c r="N91" s="114">
        <f>_xlfn.IFNA(VLOOKUP($A91,'In-House Hours'!$D$5:$BU$10,6+(COLUMN(L91)-1)*4,FALSE),0)</f>
        <v>19826.839654214815</v>
      </c>
      <c r="O91" s="114">
        <f>_xlfn.IFNA(VLOOKUP($A91,'In-House Hours'!$D$5:$BU$10,6+(COLUMN(M91)-1)*4,FALSE),0)</f>
        <v>19826.839654214815</v>
      </c>
      <c r="P91" s="114">
        <f>_xlfn.IFNA(VLOOKUP($A91,'In-House Hours'!$D$5:$BU$10,6+(COLUMN(N91)-1)*4,FALSE),0)</f>
        <v>19826.839654214815</v>
      </c>
      <c r="Q91" s="114">
        <f>_xlfn.IFNA(VLOOKUP($A91,'In-House Hours'!$D$5:$BU$10,6+(COLUMN(O91)-1)*4,FALSE),0)</f>
        <v>19826.839654214815</v>
      </c>
      <c r="R91" s="114">
        <f>_xlfn.IFNA(VLOOKUP($A91,'In-House Hours'!$D$5:$BU$10,6+(COLUMN(P91)-1)*4,FALSE),0)</f>
        <v>19826.839654214815</v>
      </c>
      <c r="S91" s="114">
        <f>_xlfn.IFNA(VLOOKUP($A91,'In-House Hours'!$D$5:$BU$10,6+(COLUMN(Q91)-1)*4,FALSE),0)</f>
        <v>19826.839654214815</v>
      </c>
    </row>
    <row r="92" spans="1:19" x14ac:dyDescent="0.35">
      <c r="A92" s="112" t="s">
        <v>644</v>
      </c>
      <c r="B92" s="113" t="s">
        <v>37</v>
      </c>
      <c r="C92" s="114">
        <f>_xlfn.IFNA(VLOOKUP($A92,'In-House Hours'!$D$5:$BU$10,6+(COLUMN(A92)-1)*4,FALSE),0)</f>
        <v>0</v>
      </c>
      <c r="D92" s="114">
        <f>_xlfn.IFNA(VLOOKUP($A92,'In-House Hours'!$D$5:$BU$10,6+(COLUMN(B92)-1)*4,FALSE),0)</f>
        <v>0</v>
      </c>
      <c r="E92" s="114">
        <f>_xlfn.IFNA(VLOOKUP($A92,'In-House Hours'!$D$5:$BU$10,6+(COLUMN(C92)-1)*4,FALSE),0)</f>
        <v>0</v>
      </c>
      <c r="F92" s="114">
        <f>_xlfn.IFNA(VLOOKUP($A92,'In-House Hours'!$D$5:$BU$10,6+(COLUMN(D92)-1)*4,FALSE),0)</f>
        <v>0</v>
      </c>
      <c r="G92" s="114">
        <f>_xlfn.IFNA(VLOOKUP($A92,'In-House Hours'!$D$5:$BU$10,6+(COLUMN(E92)-1)*4,FALSE),0)</f>
        <v>0</v>
      </c>
      <c r="H92" s="114">
        <f>_xlfn.IFNA(VLOOKUP($A92,'In-House Hours'!$D$5:$BU$10,6+(COLUMN(F92)-1)*4,FALSE),0)</f>
        <v>0</v>
      </c>
      <c r="I92" s="114">
        <f>_xlfn.IFNA(VLOOKUP($A92,'In-House Hours'!$D$5:$BU$10,6+(COLUMN(G92)-1)*4,FALSE),0)</f>
        <v>0</v>
      </c>
      <c r="J92" s="114">
        <f>_xlfn.IFNA(VLOOKUP($A92,'In-House Hours'!$D$5:$BU$10,6+(COLUMN(H92)-1)*4,FALSE),0)</f>
        <v>0</v>
      </c>
      <c r="K92" s="114">
        <f>_xlfn.IFNA(VLOOKUP($A92,'In-House Hours'!$D$5:$BU$10,6+(COLUMN(I92)-1)*4,FALSE),0)</f>
        <v>0</v>
      </c>
      <c r="L92" s="114">
        <f>_xlfn.IFNA(VLOOKUP($A92,'In-House Hours'!$D$5:$BU$10,6+(COLUMN(J92)-1)*4,FALSE),0)</f>
        <v>0</v>
      </c>
      <c r="M92" s="114">
        <f>_xlfn.IFNA(VLOOKUP($A92,'In-House Hours'!$D$5:$BU$10,6+(COLUMN(K92)-1)*4,FALSE),0)</f>
        <v>0</v>
      </c>
      <c r="N92" s="114">
        <f>_xlfn.IFNA(VLOOKUP($A92,'In-House Hours'!$D$5:$BU$10,6+(COLUMN(L92)-1)*4,FALSE),0)</f>
        <v>0</v>
      </c>
      <c r="O92" s="114">
        <f>_xlfn.IFNA(VLOOKUP($A92,'In-House Hours'!$D$5:$BU$10,6+(COLUMN(M92)-1)*4,FALSE),0)</f>
        <v>0</v>
      </c>
      <c r="P92" s="114">
        <f>_xlfn.IFNA(VLOOKUP($A92,'In-House Hours'!$D$5:$BU$10,6+(COLUMN(N92)-1)*4,FALSE),0)</f>
        <v>0</v>
      </c>
      <c r="Q92" s="114">
        <f>_xlfn.IFNA(VLOOKUP($A92,'In-House Hours'!$D$5:$BU$10,6+(COLUMN(O92)-1)*4,FALSE),0)</f>
        <v>0</v>
      </c>
      <c r="R92" s="114">
        <f>_xlfn.IFNA(VLOOKUP($A92,'In-House Hours'!$D$5:$BU$10,6+(COLUMN(P92)-1)*4,FALSE),0)</f>
        <v>0</v>
      </c>
      <c r="S92" s="114">
        <f>_xlfn.IFNA(VLOOKUP($A92,'In-House Hours'!$D$5:$BU$10,6+(COLUMN(Q92)-1)*4,FALSE),0)</f>
        <v>0</v>
      </c>
    </row>
    <row r="93" spans="1:19" x14ac:dyDescent="0.35">
      <c r="A93" s="112" t="s">
        <v>645</v>
      </c>
      <c r="B93" s="113" t="s">
        <v>37</v>
      </c>
      <c r="C93" s="114">
        <f>_xlfn.IFNA(VLOOKUP($A93,'In-House Hours'!$D$5:$BU$10,6+(COLUMN(A93)-1)*4,FALSE),0)</f>
        <v>0</v>
      </c>
      <c r="D93" s="114">
        <f>_xlfn.IFNA(VLOOKUP($A93,'In-House Hours'!$D$5:$BU$10,6+(COLUMN(B93)-1)*4,FALSE),0)</f>
        <v>0</v>
      </c>
      <c r="E93" s="114">
        <f>_xlfn.IFNA(VLOOKUP($A93,'In-House Hours'!$D$5:$BU$10,6+(COLUMN(C93)-1)*4,FALSE),0)</f>
        <v>0</v>
      </c>
      <c r="F93" s="114">
        <f>_xlfn.IFNA(VLOOKUP($A93,'In-House Hours'!$D$5:$BU$10,6+(COLUMN(D93)-1)*4,FALSE),0)</f>
        <v>0</v>
      </c>
      <c r="G93" s="114">
        <f>_xlfn.IFNA(VLOOKUP($A93,'In-House Hours'!$D$5:$BU$10,6+(COLUMN(E93)-1)*4,FALSE),0)</f>
        <v>0</v>
      </c>
      <c r="H93" s="114">
        <f>_xlfn.IFNA(VLOOKUP($A93,'In-House Hours'!$D$5:$BU$10,6+(COLUMN(F93)-1)*4,FALSE),0)</f>
        <v>0</v>
      </c>
      <c r="I93" s="114">
        <f>_xlfn.IFNA(VLOOKUP($A93,'In-House Hours'!$D$5:$BU$10,6+(COLUMN(G93)-1)*4,FALSE),0)</f>
        <v>0</v>
      </c>
      <c r="J93" s="114">
        <f>_xlfn.IFNA(VLOOKUP($A93,'In-House Hours'!$D$5:$BU$10,6+(COLUMN(H93)-1)*4,FALSE),0)</f>
        <v>0</v>
      </c>
      <c r="K93" s="114">
        <f>_xlfn.IFNA(VLOOKUP($A93,'In-House Hours'!$D$5:$BU$10,6+(COLUMN(I93)-1)*4,FALSE),0)</f>
        <v>0</v>
      </c>
      <c r="L93" s="114">
        <f>_xlfn.IFNA(VLOOKUP($A93,'In-House Hours'!$D$5:$BU$10,6+(COLUMN(J93)-1)*4,FALSE),0)</f>
        <v>0</v>
      </c>
      <c r="M93" s="114">
        <f>_xlfn.IFNA(VLOOKUP($A93,'In-House Hours'!$D$5:$BU$10,6+(COLUMN(K93)-1)*4,FALSE),0)</f>
        <v>0</v>
      </c>
      <c r="N93" s="114">
        <f>_xlfn.IFNA(VLOOKUP($A93,'In-House Hours'!$D$5:$BU$10,6+(COLUMN(L93)-1)*4,FALSE),0)</f>
        <v>0</v>
      </c>
      <c r="O93" s="114">
        <f>_xlfn.IFNA(VLOOKUP($A93,'In-House Hours'!$D$5:$BU$10,6+(COLUMN(M93)-1)*4,FALSE),0)</f>
        <v>0</v>
      </c>
      <c r="P93" s="114">
        <f>_xlfn.IFNA(VLOOKUP($A93,'In-House Hours'!$D$5:$BU$10,6+(COLUMN(N93)-1)*4,FALSE),0)</f>
        <v>0</v>
      </c>
      <c r="Q93" s="114">
        <f>_xlfn.IFNA(VLOOKUP($A93,'In-House Hours'!$D$5:$BU$10,6+(COLUMN(O93)-1)*4,FALSE),0)</f>
        <v>0</v>
      </c>
      <c r="R93" s="114">
        <f>_xlfn.IFNA(VLOOKUP($A93,'In-House Hours'!$D$5:$BU$10,6+(COLUMN(P93)-1)*4,FALSE),0)</f>
        <v>0</v>
      </c>
      <c r="S93" s="114">
        <f>_xlfn.IFNA(VLOOKUP($A93,'In-House Hours'!$D$5:$BU$10,6+(COLUMN(Q93)-1)*4,FALSE),0)</f>
        <v>0</v>
      </c>
    </row>
    <row r="94" spans="1:19" ht="21.75" customHeight="1" x14ac:dyDescent="0.35">
      <c r="A94" s="110" t="s">
        <v>102</v>
      </c>
      <c r="B94" s="111"/>
      <c r="C94" s="111">
        <f t="shared" ref="C94:L94" si="37">SUM(C87:C93)</f>
        <v>238933.23848920639</v>
      </c>
      <c r="D94" s="111">
        <f t="shared" si="37"/>
        <v>238933.23848920639</v>
      </c>
      <c r="E94" s="111">
        <f t="shared" si="37"/>
        <v>238933.23848920639</v>
      </c>
      <c r="F94" s="111">
        <f t="shared" si="37"/>
        <v>209263.71612821557</v>
      </c>
      <c r="G94" s="111">
        <f t="shared" si="37"/>
        <v>238933.23848920639</v>
      </c>
      <c r="H94" s="111">
        <f t="shared" si="37"/>
        <v>238933.23848920639</v>
      </c>
      <c r="I94" s="111">
        <f t="shared" si="37"/>
        <v>238933.23848920639</v>
      </c>
      <c r="J94" s="111">
        <f t="shared" si="37"/>
        <v>238933.23848920639</v>
      </c>
      <c r="K94" s="111">
        <f t="shared" si="37"/>
        <v>238933.23848920639</v>
      </c>
      <c r="L94" s="111">
        <f t="shared" si="37"/>
        <v>238933.23848920639</v>
      </c>
      <c r="M94" s="111">
        <f t="shared" ref="M94:S94" si="38">SUM(M87:M93)</f>
        <v>238933.23848920639</v>
      </c>
      <c r="N94" s="111">
        <f t="shared" si="38"/>
        <v>238933.23848920639</v>
      </c>
      <c r="O94" s="111">
        <f t="shared" si="38"/>
        <v>238933.23848920639</v>
      </c>
      <c r="P94" s="111">
        <f t="shared" si="38"/>
        <v>238933.23848920639</v>
      </c>
      <c r="Q94" s="111">
        <f t="shared" si="38"/>
        <v>238933.23848920639</v>
      </c>
      <c r="R94" s="111">
        <f t="shared" si="38"/>
        <v>238933.23848920639</v>
      </c>
      <c r="S94" s="111">
        <f t="shared" si="38"/>
        <v>238933.23848920639</v>
      </c>
    </row>
    <row r="96" spans="1:19" ht="21.75" customHeight="1" x14ac:dyDescent="0.35">
      <c r="A96" s="171" t="s">
        <v>103</v>
      </c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</row>
    <row r="97" spans="1:19" x14ac:dyDescent="0.35">
      <c r="A97" s="117" t="s">
        <v>104</v>
      </c>
      <c r="B97" s="118" t="s">
        <v>37</v>
      </c>
      <c r="C97" s="119">
        <v>0</v>
      </c>
      <c r="D97" s="119">
        <v>0</v>
      </c>
      <c r="E97" s="119">
        <v>0</v>
      </c>
      <c r="F97" s="119">
        <v>0</v>
      </c>
      <c r="G97" s="119">
        <v>0</v>
      </c>
      <c r="H97" s="119">
        <v>0</v>
      </c>
      <c r="I97" s="119">
        <v>0</v>
      </c>
      <c r="J97" s="119">
        <v>0</v>
      </c>
      <c r="K97" s="119">
        <v>0</v>
      </c>
      <c r="L97" s="119">
        <v>0</v>
      </c>
      <c r="M97" s="119">
        <v>0</v>
      </c>
      <c r="N97" s="119">
        <v>0</v>
      </c>
      <c r="O97" s="119">
        <v>0</v>
      </c>
      <c r="P97" s="119">
        <v>0</v>
      </c>
      <c r="Q97" s="119">
        <v>0</v>
      </c>
      <c r="R97" s="119">
        <v>0</v>
      </c>
      <c r="S97" s="119">
        <v>0</v>
      </c>
    </row>
    <row r="98" spans="1:19" x14ac:dyDescent="0.35">
      <c r="A98" s="117" t="s">
        <v>105</v>
      </c>
      <c r="B98" s="118" t="s">
        <v>37</v>
      </c>
      <c r="C98" s="119">
        <v>22500</v>
      </c>
      <c r="D98" s="119">
        <v>22500</v>
      </c>
      <c r="E98" s="119">
        <v>22500</v>
      </c>
      <c r="F98" s="119">
        <v>22500</v>
      </c>
      <c r="G98" s="119">
        <v>22500</v>
      </c>
      <c r="H98" s="119">
        <v>22500</v>
      </c>
      <c r="I98" s="119">
        <v>22500</v>
      </c>
      <c r="J98" s="119">
        <v>22500</v>
      </c>
      <c r="K98" s="119">
        <v>22500</v>
      </c>
      <c r="L98" s="119">
        <v>22500</v>
      </c>
      <c r="M98" s="119">
        <v>22500</v>
      </c>
      <c r="N98" s="119">
        <v>22500</v>
      </c>
      <c r="O98" s="119">
        <v>22500</v>
      </c>
      <c r="P98" s="119">
        <v>22500</v>
      </c>
      <c r="Q98" s="119">
        <v>22500</v>
      </c>
      <c r="R98" s="119">
        <v>22500</v>
      </c>
      <c r="S98" s="119">
        <v>22500</v>
      </c>
    </row>
    <row r="99" spans="1:19" x14ac:dyDescent="0.35">
      <c r="A99" s="117" t="s">
        <v>106</v>
      </c>
      <c r="B99" s="118" t="s">
        <v>37</v>
      </c>
      <c r="C99" s="119">
        <v>0</v>
      </c>
      <c r="D99" s="119">
        <v>0</v>
      </c>
      <c r="E99" s="119">
        <v>0</v>
      </c>
      <c r="F99" s="119">
        <v>0</v>
      </c>
      <c r="G99" s="119">
        <v>0</v>
      </c>
      <c r="H99" s="119">
        <v>0</v>
      </c>
      <c r="I99" s="119">
        <v>0</v>
      </c>
      <c r="J99" s="119">
        <v>0</v>
      </c>
      <c r="K99" s="119">
        <v>0</v>
      </c>
      <c r="L99" s="119">
        <v>0</v>
      </c>
      <c r="M99" s="119">
        <v>0</v>
      </c>
      <c r="N99" s="119">
        <v>0</v>
      </c>
      <c r="O99" s="119">
        <v>0</v>
      </c>
      <c r="P99" s="119">
        <v>0</v>
      </c>
      <c r="Q99" s="119">
        <v>0</v>
      </c>
      <c r="R99" s="119">
        <v>0</v>
      </c>
      <c r="S99" s="119">
        <v>0</v>
      </c>
    </row>
    <row r="100" spans="1:19" x14ac:dyDescent="0.35">
      <c r="A100" s="117" t="s">
        <v>107</v>
      </c>
      <c r="B100" s="118" t="s">
        <v>37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  <c r="O100" s="119">
        <v>0</v>
      </c>
      <c r="P100" s="119">
        <v>0</v>
      </c>
      <c r="Q100" s="119">
        <v>0</v>
      </c>
      <c r="R100" s="119">
        <v>0</v>
      </c>
      <c r="S100" s="119">
        <v>0</v>
      </c>
    </row>
    <row r="101" spans="1:19" x14ac:dyDescent="0.35">
      <c r="A101" s="117" t="s">
        <v>108</v>
      </c>
      <c r="B101" s="118" t="s">
        <v>37</v>
      </c>
      <c r="C101" s="119">
        <f>C52</f>
        <v>47506.724284613345</v>
      </c>
      <c r="D101" s="119">
        <f t="shared" ref="D101:J101" si="39">D52</f>
        <v>42025.179174850273</v>
      </c>
      <c r="E101" s="119">
        <f t="shared" si="39"/>
        <v>42025.179174850273</v>
      </c>
      <c r="F101" s="119">
        <f t="shared" si="39"/>
        <v>42025.179174850273</v>
      </c>
      <c r="G101" s="119">
        <f t="shared" si="39"/>
        <v>53719.142075678181</v>
      </c>
      <c r="H101" s="119">
        <f t="shared" si="39"/>
        <v>51770.148258873523</v>
      </c>
      <c r="I101" s="119">
        <f t="shared" si="39"/>
        <v>42634.239742601727</v>
      </c>
      <c r="J101" s="119">
        <f t="shared" si="39"/>
        <v>41416.118607098819</v>
      </c>
      <c r="K101" s="119">
        <f t="shared" ref="K101:S101" si="40">K52</f>
        <v>34107.391794081377</v>
      </c>
      <c r="L101" s="119">
        <f t="shared" si="40"/>
        <v>34107.391794081377</v>
      </c>
      <c r="M101" s="119">
        <f t="shared" si="40"/>
        <v>42634.239742601727</v>
      </c>
      <c r="N101" s="119">
        <f t="shared" si="40"/>
        <v>46044.978922009861</v>
      </c>
      <c r="O101" s="119">
        <f t="shared" si="40"/>
        <v>29234.907252069752</v>
      </c>
      <c r="P101" s="119">
        <f t="shared" si="40"/>
        <v>36543.634065087193</v>
      </c>
      <c r="Q101" s="119">
        <f t="shared" si="40"/>
        <v>46044.978922009861</v>
      </c>
      <c r="R101" s="119">
        <f t="shared" si="40"/>
        <v>58469.814504139504</v>
      </c>
      <c r="S101" s="119">
        <f t="shared" si="40"/>
        <v>47506.724284613345</v>
      </c>
    </row>
    <row r="102" spans="1:19" x14ac:dyDescent="0.35">
      <c r="A102" s="117" t="s">
        <v>109</v>
      </c>
      <c r="B102" s="118" t="s">
        <v>37</v>
      </c>
      <c r="C102" s="119">
        <f>'Cost Rate Tables'!C31</f>
        <v>1440</v>
      </c>
      <c r="D102" s="119">
        <v>0</v>
      </c>
      <c r="E102" s="119">
        <v>0</v>
      </c>
      <c r="F102" s="119">
        <v>0</v>
      </c>
      <c r="G102" s="119">
        <v>0</v>
      </c>
      <c r="H102" s="119">
        <v>0</v>
      </c>
      <c r="I102" s="119">
        <v>0</v>
      </c>
      <c r="J102" s="119">
        <v>0</v>
      </c>
      <c r="K102" s="119">
        <v>1</v>
      </c>
      <c r="L102" s="119">
        <v>2</v>
      </c>
      <c r="M102" s="119">
        <v>3</v>
      </c>
      <c r="N102" s="119">
        <v>4</v>
      </c>
      <c r="O102" s="119">
        <v>5</v>
      </c>
      <c r="P102" s="119">
        <v>6</v>
      </c>
      <c r="Q102" s="119">
        <v>7</v>
      </c>
      <c r="R102" s="119">
        <v>8</v>
      </c>
      <c r="S102" s="119">
        <v>9</v>
      </c>
    </row>
    <row r="103" spans="1:19" x14ac:dyDescent="0.35">
      <c r="A103" s="117" t="s">
        <v>110</v>
      </c>
      <c r="B103" s="118" t="s">
        <v>37</v>
      </c>
      <c r="C103" s="119">
        <f>IF(C60="Outsource",'Cost Rate Tables'!$C$33*C21*0.5,0)</f>
        <v>0</v>
      </c>
      <c r="D103" s="119">
        <f>IF(D60="Outsource",'Cost Rate Tables'!$C$33*D21*0.5,0)</f>
        <v>0</v>
      </c>
      <c r="E103" s="119">
        <f>IF(E60="Outsource",'Cost Rate Tables'!$C$33*E21*0.5,0)</f>
        <v>0</v>
      </c>
      <c r="F103" s="119">
        <f>IF(F60="Outsource",'Cost Rate Tables'!$C$33*F21*0.5,0)</f>
        <v>0</v>
      </c>
      <c r="G103" s="119">
        <f>IF(G60="Outsource",'Cost Rate Tables'!$C$33*G21*0.5,0)</f>
        <v>0</v>
      </c>
      <c r="H103" s="119">
        <f>IF(H60="Outsource",'Cost Rate Tables'!$C$33*H21*0.5,0)</f>
        <v>0</v>
      </c>
      <c r="I103" s="119">
        <f>IF(I60="Outsource",'Cost Rate Tables'!$C$33*I21*0.5,0)</f>
        <v>0</v>
      </c>
      <c r="J103" s="119">
        <f>IF(J60="Outsource",'Cost Rate Tables'!$C$33*J21*0.5,0)</f>
        <v>0</v>
      </c>
      <c r="K103" s="119">
        <f>IF(K60="Outsource",'Cost Rate Tables'!$C$33*K21*0.5,0)</f>
        <v>0</v>
      </c>
      <c r="L103" s="119">
        <f>IF(L60="Outsource",'Cost Rate Tables'!$C$33*L21*0.5,0)</f>
        <v>0</v>
      </c>
      <c r="M103" s="119">
        <f>IF(M60="Outsource",'Cost Rate Tables'!$C$33*M21*0.5,0)</f>
        <v>0</v>
      </c>
      <c r="N103" s="119">
        <f>IF(N60="Outsource",'Cost Rate Tables'!$C$33*N21*0.5,0)</f>
        <v>0</v>
      </c>
      <c r="O103" s="119">
        <f>IF(O60="Outsource",'Cost Rate Tables'!$C$33*O21*0.5,0)</f>
        <v>0</v>
      </c>
      <c r="P103" s="119">
        <f>IF(P60="Outsource",'Cost Rate Tables'!$C$33*P21*0.5,0)</f>
        <v>0</v>
      </c>
      <c r="Q103" s="119">
        <f>IF(Q60="Outsource",'Cost Rate Tables'!$C$33*Q21*0.5,0)</f>
        <v>0</v>
      </c>
      <c r="R103" s="119">
        <f>IF(R60="Outsource",'Cost Rate Tables'!$C$33*R21*0.5,0)</f>
        <v>0</v>
      </c>
      <c r="S103" s="119">
        <f>IF(S60="Outsource",'Cost Rate Tables'!$C$33*S21*0.5,0)</f>
        <v>0</v>
      </c>
    </row>
    <row r="104" spans="1:19" x14ac:dyDescent="0.35">
      <c r="A104" s="117" t="s">
        <v>111</v>
      </c>
      <c r="B104" s="118" t="s">
        <v>37</v>
      </c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</row>
    <row r="105" spans="1:19" ht="21.75" customHeight="1" x14ac:dyDescent="0.35">
      <c r="A105" s="115" t="s">
        <v>112</v>
      </c>
      <c r="B105" s="116"/>
      <c r="C105" s="116">
        <f t="shared" ref="C105:L105" si="41">SUM(C97:C104)</f>
        <v>71446.724284613345</v>
      </c>
      <c r="D105" s="116">
        <f t="shared" si="41"/>
        <v>64525.179174850273</v>
      </c>
      <c r="E105" s="116">
        <f t="shared" si="41"/>
        <v>64525.179174850273</v>
      </c>
      <c r="F105" s="116">
        <f t="shared" si="41"/>
        <v>64525.179174850273</v>
      </c>
      <c r="G105" s="116">
        <f t="shared" si="41"/>
        <v>76219.142075678188</v>
      </c>
      <c r="H105" s="116">
        <f t="shared" si="41"/>
        <v>74270.148258873523</v>
      </c>
      <c r="I105" s="116">
        <f t="shared" si="41"/>
        <v>65134.239742601727</v>
      </c>
      <c r="J105" s="116">
        <f t="shared" si="41"/>
        <v>63916.118607098819</v>
      </c>
      <c r="K105" s="116">
        <f t="shared" si="41"/>
        <v>56608.391794081377</v>
      </c>
      <c r="L105" s="116">
        <f t="shared" si="41"/>
        <v>56609.391794081377</v>
      </c>
      <c r="M105" s="116">
        <f t="shared" ref="M105:S105" si="42">SUM(M97:M104)</f>
        <v>65137.239742601727</v>
      </c>
      <c r="N105" s="116">
        <f t="shared" si="42"/>
        <v>68548.978922009861</v>
      </c>
      <c r="O105" s="116">
        <f t="shared" si="42"/>
        <v>51739.907252069752</v>
      </c>
      <c r="P105" s="116">
        <f t="shared" si="42"/>
        <v>59049.634065087193</v>
      </c>
      <c r="Q105" s="116">
        <f t="shared" si="42"/>
        <v>68551.978922009861</v>
      </c>
      <c r="R105" s="116">
        <f t="shared" si="42"/>
        <v>80977.814504139504</v>
      </c>
      <c r="S105" s="116">
        <f t="shared" si="42"/>
        <v>70015.724284613345</v>
      </c>
    </row>
    <row r="107" spans="1:19" ht="21.75" customHeight="1" x14ac:dyDescent="0.35">
      <c r="A107" s="166" t="s">
        <v>113</v>
      </c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</row>
    <row r="108" spans="1:19" x14ac:dyDescent="0.35">
      <c r="A108" s="122" t="s">
        <v>114</v>
      </c>
      <c r="B108" s="123" t="s">
        <v>37</v>
      </c>
      <c r="C108" s="124">
        <f>C20/100*'Cost Rate Tables'!$C$55</f>
        <v>4958.3166741126852</v>
      </c>
      <c r="D108" s="124">
        <f>D20/100*'Cost Rate Tables'!$C$55</f>
        <v>4605.1562540178702</v>
      </c>
      <c r="E108" s="124">
        <f>E20/100*'Cost Rate Tables'!$C$55</f>
        <v>5447.5956397841283</v>
      </c>
      <c r="F108" s="124">
        <f>F20/100*'Cost Rate Tables'!$C$55</f>
        <v>5408.1493941756889</v>
      </c>
      <c r="G108" s="124">
        <f>G20/100*'Cost Rate Tables'!$C$55</f>
        <v>4687.3180589449703</v>
      </c>
      <c r="H108" s="124">
        <f>H20/100*'Cost Rate Tables'!$C$55</f>
        <v>3951.1647912619746</v>
      </c>
      <c r="I108" s="124">
        <f>I20/100*'Cost Rate Tables'!$C$55</f>
        <v>3365.0687749344106</v>
      </c>
      <c r="J108" s="124">
        <f>J20/100*'Cost Rate Tables'!$C$55</f>
        <v>2921.3349800360456</v>
      </c>
      <c r="K108" s="124">
        <f>K20/100*'Cost Rate Tables'!$C$55</f>
        <v>2455.4637875705462</v>
      </c>
      <c r="L108" s="124">
        <f>L20/100*'Cost Rate Tables'!$C$55</f>
        <v>2488.8381986746549</v>
      </c>
      <c r="M108" s="124">
        <f>M20/100*'Cost Rate Tables'!$C$55</f>
        <v>3326.0420658713206</v>
      </c>
      <c r="N108" s="124">
        <f>N20/100*'Cost Rate Tables'!$C$55</f>
        <v>0</v>
      </c>
      <c r="O108" s="124">
        <f>O20/100*'Cost Rate Tables'!$C$55</f>
        <v>2178.2574036976553</v>
      </c>
      <c r="P108" s="124">
        <f>P20/100*'Cost Rate Tables'!$C$55</f>
        <v>2935.3113883196111</v>
      </c>
      <c r="Q108" s="124">
        <f>Q20/100*'Cost Rate Tables'!$C$55</f>
        <v>4192.3925340461383</v>
      </c>
      <c r="R108" s="124">
        <f>R20/100*'Cost Rate Tables'!$C$55</f>
        <v>7810.2884629957489</v>
      </c>
      <c r="S108" s="124">
        <f>S20/100*'Cost Rate Tables'!$C$55</f>
        <v>5420.7814965687594</v>
      </c>
    </row>
    <row r="109" spans="1:19" x14ac:dyDescent="0.35">
      <c r="A109" s="122" t="s">
        <v>115</v>
      </c>
      <c r="B109" s="123" t="s">
        <v>37</v>
      </c>
      <c r="C109" s="124">
        <f>C34*'Cost Rate Tables'!$C$52</f>
        <v>782.15641488510641</v>
      </c>
      <c r="D109" s="124">
        <f>D34*'Cost Rate Tables'!$C$52</f>
        <v>730.1559059834043</v>
      </c>
      <c r="E109" s="124">
        <f>E34*'Cost Rate Tables'!$C$52</f>
        <v>728.43688089574471</v>
      </c>
      <c r="F109" s="124">
        <f>F34*'Cost Rate Tables'!$C$52</f>
        <v>821.21198777052393</v>
      </c>
      <c r="G109" s="124">
        <f>G34*'Cost Rate Tables'!$C$52</f>
        <v>535.67499773333441</v>
      </c>
      <c r="H109" s="124">
        <f>H34*'Cost Rate Tables'!$C$52</f>
        <v>708.70520301636691</v>
      </c>
      <c r="I109" s="124">
        <f>I34*'Cost Rate Tables'!$C$52</f>
        <v>535.67499773333441</v>
      </c>
      <c r="J109" s="124">
        <f>J34*'Cost Rate Tables'!$C$52</f>
        <v>708.70520301636691</v>
      </c>
      <c r="K109" s="124">
        <f>K34*'Cost Rate Tables'!$C$52</f>
        <v>535.67499773333441</v>
      </c>
      <c r="L109" s="124">
        <f>L34*'Cost Rate Tables'!$C$52</f>
        <v>322.9552463244695</v>
      </c>
      <c r="M109" s="124">
        <f>M34*'Cost Rate Tables'!$C$52</f>
        <v>451.52501948058858</v>
      </c>
      <c r="N109" s="124">
        <f>N34*'Cost Rate Tables'!$C$52</f>
        <v>632.85715453300986</v>
      </c>
      <c r="O109" s="124">
        <f>O34*'Cost Rate Tables'!$C$52</f>
        <v>285.18270289470706</v>
      </c>
      <c r="P109" s="124">
        <f>P34*'Cost Rate Tables'!$C$52</f>
        <v>344.0116217338404</v>
      </c>
      <c r="Q109" s="124">
        <f>Q34*'Cost Rate Tables'!$C$52</f>
        <v>476.25458755770103</v>
      </c>
      <c r="R109" s="124">
        <f>R34*'Cost Rate Tables'!$C$52</f>
        <v>792.44799520413096</v>
      </c>
      <c r="S109" s="124">
        <f>S34*'Cost Rate Tables'!$C$52</f>
        <v>810.09057255957453</v>
      </c>
    </row>
    <row r="110" spans="1:19" x14ac:dyDescent="0.35">
      <c r="A110" s="122" t="s">
        <v>116</v>
      </c>
      <c r="B110" s="123" t="s">
        <v>37</v>
      </c>
      <c r="C110" s="125">
        <f>C21*'Cost Rate Tables'!$C$53</f>
        <v>1059.2248396158</v>
      </c>
      <c r="D110" s="125">
        <f>D21*'Cost Rate Tables'!$C$53</f>
        <v>872.94329425484989</v>
      </c>
      <c r="E110" s="125">
        <f>E21*'Cost Rate Tables'!$C$53</f>
        <v>1143.5046661584001</v>
      </c>
      <c r="F110" s="125">
        <f>F21*'Cost Rate Tables'!$C$53</f>
        <v>1143.5046661584001</v>
      </c>
      <c r="G110" s="125">
        <f>G21*'Cost Rate Tables'!$C$53</f>
        <v>1118.6458690679999</v>
      </c>
      <c r="H110" s="125">
        <f>H21*'Cost Rate Tables'!$C$53</f>
        <v>1064.0452968873001</v>
      </c>
      <c r="I110" s="125">
        <f>I21*'Cost Rate Tables'!$C$53</f>
        <v>876.27259743659999</v>
      </c>
      <c r="J110" s="125">
        <f>J21*'Cost Rate Tables'!$C$53</f>
        <v>837.65268052830004</v>
      </c>
      <c r="K110" s="125">
        <f>K21*'Cost Rate Tables'!$C$53</f>
        <v>764.09289751283995</v>
      </c>
      <c r="L110" s="125">
        <f>L21*'Cost Rate Tables'!$C$53</f>
        <v>764.09289751283995</v>
      </c>
      <c r="M110" s="125">
        <f>M21*'Cost Rate Tables'!$C$53</f>
        <v>950.53387569083998</v>
      </c>
      <c r="N110" s="125">
        <f>N21*'Cost Rate Tables'!$C$53</f>
        <v>1022.4918405619197</v>
      </c>
      <c r="O110" s="125">
        <f>O21*'Cost Rate Tables'!$C$53</f>
        <v>654.93676929671983</v>
      </c>
      <c r="P110" s="125">
        <f>P21*'Cost Rate Tables'!$C$53</f>
        <v>814.74332202072003</v>
      </c>
      <c r="Q110" s="125">
        <f>Q21*'Cost Rate Tables'!$C$53</f>
        <v>1022.4918405619197</v>
      </c>
      <c r="R110" s="125">
        <f>R21*'Cost Rate Tables'!$C$53</f>
        <v>1294.1629801927202</v>
      </c>
      <c r="S110" s="125">
        <f>S21*'Cost Rate Tables'!$C$53</f>
        <v>1054.45315110672</v>
      </c>
    </row>
    <row r="111" spans="1:19" x14ac:dyDescent="0.35">
      <c r="A111" s="122" t="s">
        <v>117</v>
      </c>
      <c r="B111" s="123" t="s">
        <v>37</v>
      </c>
      <c r="C111" s="125">
        <f>'Cost Rate Tables'!$C$54</f>
        <v>1500</v>
      </c>
      <c r="D111" s="125">
        <f>'Cost Rate Tables'!$C$54</f>
        <v>1500</v>
      </c>
      <c r="E111" s="125">
        <f>'Cost Rate Tables'!$C$54</f>
        <v>1500</v>
      </c>
      <c r="F111" s="125">
        <f>'Cost Rate Tables'!$C$54</f>
        <v>1500</v>
      </c>
      <c r="G111" s="125">
        <f>'Cost Rate Tables'!$C$54</f>
        <v>1500</v>
      </c>
      <c r="H111" s="125">
        <f>'Cost Rate Tables'!$C$54</f>
        <v>1500</v>
      </c>
      <c r="I111" s="125">
        <f>'Cost Rate Tables'!$C$54</f>
        <v>1500</v>
      </c>
      <c r="J111" s="125">
        <f>'Cost Rate Tables'!$C$54</f>
        <v>1500</v>
      </c>
      <c r="K111" s="125">
        <f>'Cost Rate Tables'!$C$54</f>
        <v>1500</v>
      </c>
      <c r="L111" s="125">
        <f>'Cost Rate Tables'!$C$54</f>
        <v>1500</v>
      </c>
      <c r="M111" s="125">
        <f>'Cost Rate Tables'!$C$54</f>
        <v>1500</v>
      </c>
      <c r="N111" s="125">
        <f>'Cost Rate Tables'!$C$54</f>
        <v>1500</v>
      </c>
      <c r="O111" s="125">
        <f>'Cost Rate Tables'!$C$54</f>
        <v>1500</v>
      </c>
      <c r="P111" s="125">
        <f>'Cost Rate Tables'!$C$54</f>
        <v>1500</v>
      </c>
      <c r="Q111" s="125">
        <f>'Cost Rate Tables'!$C$54</f>
        <v>1500</v>
      </c>
      <c r="R111" s="125">
        <f>'Cost Rate Tables'!$C$54</f>
        <v>1500</v>
      </c>
      <c r="S111" s="125">
        <f>'Cost Rate Tables'!$C$54</f>
        <v>1500</v>
      </c>
    </row>
    <row r="112" spans="1:19" x14ac:dyDescent="0.35">
      <c r="A112" s="122" t="s">
        <v>118</v>
      </c>
      <c r="B112" s="123" t="s">
        <v>37</v>
      </c>
      <c r="C112" s="125">
        <f>C20*'Cost Rate Tables'!$C$56</f>
        <v>2669.8628245222149</v>
      </c>
      <c r="D112" s="125">
        <f>D20*'Cost Rate Tables'!$C$56</f>
        <v>2479.6995213942378</v>
      </c>
      <c r="E112" s="125">
        <f>E20*'Cost Rate Tables'!$C$56</f>
        <v>2933.3207291145304</v>
      </c>
      <c r="F112" s="125">
        <f>F20*'Cost Rate Tables'!$C$56</f>
        <v>2912.080443017679</v>
      </c>
      <c r="G112" s="125">
        <f>G20*'Cost Rate Tables'!$C$56</f>
        <v>2523.9404932780608</v>
      </c>
      <c r="H112" s="125">
        <f>H20*'Cost Rate Tables'!$C$56</f>
        <v>2127.5502722179863</v>
      </c>
      <c r="I112" s="125">
        <f>I20*'Cost Rate Tables'!$C$56</f>
        <v>1811.9601095800672</v>
      </c>
      <c r="J112" s="125">
        <f>J20*'Cost Rate Tables'!$C$56</f>
        <v>1573.0265277117169</v>
      </c>
      <c r="K112" s="125">
        <f>K20*'Cost Rate Tables'!$C$56</f>
        <v>1322.1728086918326</v>
      </c>
      <c r="L112" s="125">
        <f>L20*'Cost Rate Tables'!$C$56</f>
        <v>1340.1436454401987</v>
      </c>
      <c r="M112" s="125">
        <f>M20*'Cost Rate Tables'!$C$56</f>
        <v>1790.9457277768647</v>
      </c>
      <c r="N112" s="125">
        <f>N20*'Cost Rate Tables'!$C$56</f>
        <v>0</v>
      </c>
      <c r="O112" s="125">
        <f>O20*'Cost Rate Tables'!$C$56</f>
        <v>1172.9078327602758</v>
      </c>
      <c r="P112" s="125">
        <f>P20*'Cost Rate Tables'!$C$56</f>
        <v>1580.5522860182523</v>
      </c>
      <c r="Q112" s="125">
        <f>Q20*'Cost Rate Tables'!$C$56</f>
        <v>2257.4421337171516</v>
      </c>
      <c r="R112" s="125">
        <f>R20*'Cost Rate Tables'!$C$56</f>
        <v>4205.5399416130958</v>
      </c>
      <c r="S112" s="125">
        <f>S20*'Cost Rate Tables'!$C$56</f>
        <v>2918.8823443062547</v>
      </c>
    </row>
    <row r="113" spans="1:19" x14ac:dyDescent="0.35">
      <c r="A113" s="122" t="s">
        <v>119</v>
      </c>
      <c r="B113" s="123" t="s">
        <v>37</v>
      </c>
      <c r="C113" s="124">
        <v>0</v>
      </c>
      <c r="D113" s="124">
        <v>0</v>
      </c>
      <c r="E113" s="124">
        <v>0</v>
      </c>
      <c r="F113" s="124">
        <v>0</v>
      </c>
      <c r="G113" s="124">
        <v>0</v>
      </c>
      <c r="H113" s="124">
        <v>0</v>
      </c>
      <c r="I113" s="124">
        <v>0</v>
      </c>
      <c r="J113" s="124">
        <v>0</v>
      </c>
      <c r="K113" s="124">
        <v>0</v>
      </c>
      <c r="L113" s="124">
        <v>0</v>
      </c>
      <c r="M113" s="124">
        <v>0</v>
      </c>
      <c r="N113" s="124">
        <v>0</v>
      </c>
      <c r="O113" s="124">
        <v>0</v>
      </c>
      <c r="P113" s="124">
        <v>0</v>
      </c>
      <c r="Q113" s="124">
        <v>0</v>
      </c>
      <c r="R113" s="124">
        <v>0</v>
      </c>
      <c r="S113" s="124">
        <v>0</v>
      </c>
    </row>
    <row r="114" spans="1:19" ht="21.75" customHeight="1" x14ac:dyDescent="0.35">
      <c r="A114" s="120" t="s">
        <v>120</v>
      </c>
      <c r="B114" s="121"/>
      <c r="C114" s="121">
        <f t="shared" ref="C114:S114" si="43">SUM(C108:C113)</f>
        <v>10969.560753135807</v>
      </c>
      <c r="D114" s="121">
        <f t="shared" si="43"/>
        <v>10187.954975650362</v>
      </c>
      <c r="E114" s="121">
        <f t="shared" si="43"/>
        <v>11752.857915952804</v>
      </c>
      <c r="F114" s="121">
        <f t="shared" si="43"/>
        <v>11784.946491122293</v>
      </c>
      <c r="G114" s="121">
        <f t="shared" si="43"/>
        <v>10365.579419024365</v>
      </c>
      <c r="H114" s="121">
        <f t="shared" si="43"/>
        <v>9351.4655633836283</v>
      </c>
      <c r="I114" s="121">
        <f t="shared" si="43"/>
        <v>8088.976479684412</v>
      </c>
      <c r="J114" s="121">
        <f t="shared" si="43"/>
        <v>7540.7193912924295</v>
      </c>
      <c r="K114" s="121">
        <f t="shared" si="43"/>
        <v>6577.4044915085533</v>
      </c>
      <c r="L114" s="121">
        <f t="shared" si="43"/>
        <v>6416.0299879521626</v>
      </c>
      <c r="M114" s="121">
        <f t="shared" si="43"/>
        <v>8019.0466888196133</v>
      </c>
      <c r="N114" s="121">
        <f t="shared" si="43"/>
        <v>3155.3489950949297</v>
      </c>
      <c r="O114" s="121">
        <f t="shared" si="43"/>
        <v>5791.2847086493575</v>
      </c>
      <c r="P114" s="121">
        <f t="shared" si="43"/>
        <v>7174.6186180924233</v>
      </c>
      <c r="Q114" s="121">
        <f t="shared" si="43"/>
        <v>9448.5810958829097</v>
      </c>
      <c r="R114" s="121">
        <f t="shared" si="43"/>
        <v>15602.439380005697</v>
      </c>
      <c r="S114" s="121">
        <f t="shared" si="43"/>
        <v>11704.20756454131</v>
      </c>
    </row>
    <row r="116" spans="1:19" ht="21.75" customHeight="1" x14ac:dyDescent="0.35">
      <c r="A116" s="163" t="s">
        <v>121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</row>
    <row r="117" spans="1:19" ht="21.75" customHeight="1" x14ac:dyDescent="0.35">
      <c r="A117" s="128" t="s">
        <v>634</v>
      </c>
      <c r="B117" s="129" t="s">
        <v>37</v>
      </c>
      <c r="C117" s="129">
        <f>C75</f>
        <v>178903.18022758426</v>
      </c>
      <c r="D117" s="129">
        <f t="shared" ref="D117:L117" si="44">D75</f>
        <v>156817.88283331282</v>
      </c>
      <c r="E117" s="129">
        <f t="shared" si="44"/>
        <v>217270.48613902804</v>
      </c>
      <c r="F117" s="129">
        <f t="shared" si="44"/>
        <v>232267.45866077908</v>
      </c>
      <c r="G117" s="129">
        <f t="shared" si="44"/>
        <v>170716.63730201041</v>
      </c>
      <c r="H117" s="129">
        <f t="shared" si="44"/>
        <v>193152.46455393126</v>
      </c>
      <c r="I117" s="129">
        <f t="shared" si="44"/>
        <v>155097.0264635424</v>
      </c>
      <c r="J117" s="129">
        <f t="shared" si="44"/>
        <v>178562.71816635126</v>
      </c>
      <c r="K117" s="129">
        <f t="shared" si="44"/>
        <v>147867.66802401119</v>
      </c>
      <c r="L117" s="129">
        <f t="shared" si="44"/>
        <v>106456.43238180743</v>
      </c>
      <c r="M117" s="129">
        <f t="shared" ref="M117:S117" si="45">M75</f>
        <v>138047.54296989512</v>
      </c>
      <c r="N117" s="129">
        <f t="shared" si="45"/>
        <v>169884.65429722791</v>
      </c>
      <c r="O117" s="129">
        <f t="shared" si="45"/>
        <v>93756.044826748664</v>
      </c>
      <c r="P117" s="129">
        <f t="shared" si="45"/>
        <v>113169.58651580851</v>
      </c>
      <c r="Q117" s="129">
        <f t="shared" si="45"/>
        <v>155606.98282749575</v>
      </c>
      <c r="R117" s="129">
        <f t="shared" si="45"/>
        <v>238518.23671094832</v>
      </c>
      <c r="S117" s="129">
        <f t="shared" si="45"/>
        <v>223779.66447416093</v>
      </c>
    </row>
    <row r="118" spans="1:19" ht="21.75" customHeight="1" x14ac:dyDescent="0.35">
      <c r="A118" s="130" t="s">
        <v>635</v>
      </c>
      <c r="B118" s="131" t="str">
        <f>B88</f>
        <v>INR</v>
      </c>
      <c r="C118" s="131">
        <f>C84</f>
        <v>289344</v>
      </c>
      <c r="D118" s="131">
        <f t="shared" ref="D118:L118" si="46">D84</f>
        <v>218000</v>
      </c>
      <c r="E118" s="131">
        <f t="shared" si="46"/>
        <v>289344</v>
      </c>
      <c r="F118" s="131">
        <f t="shared" si="46"/>
        <v>385216</v>
      </c>
      <c r="G118" s="131">
        <f t="shared" si="46"/>
        <v>210350</v>
      </c>
      <c r="H118" s="131">
        <f t="shared" si="46"/>
        <v>210350</v>
      </c>
      <c r="I118" s="131">
        <f t="shared" si="46"/>
        <v>210350</v>
      </c>
      <c r="J118" s="131">
        <f t="shared" si="46"/>
        <v>210350</v>
      </c>
      <c r="K118" s="131">
        <f t="shared" si="46"/>
        <v>210350</v>
      </c>
      <c r="L118" s="131">
        <f t="shared" si="46"/>
        <v>101372</v>
      </c>
      <c r="M118" s="131">
        <f t="shared" ref="M118:S118" si="47">M84</f>
        <v>123754</v>
      </c>
      <c r="N118" s="131">
        <f t="shared" si="47"/>
        <v>110350</v>
      </c>
      <c r="O118" s="131">
        <f t="shared" si="47"/>
        <v>101372</v>
      </c>
      <c r="P118" s="131">
        <f t="shared" si="47"/>
        <v>123754</v>
      </c>
      <c r="Q118" s="131">
        <f t="shared" si="47"/>
        <v>210350</v>
      </c>
      <c r="R118" s="131">
        <f t="shared" si="47"/>
        <v>389428</v>
      </c>
      <c r="S118" s="131">
        <f t="shared" si="47"/>
        <v>210000</v>
      </c>
    </row>
    <row r="119" spans="1:19" ht="21.75" customHeight="1" x14ac:dyDescent="0.35">
      <c r="A119" s="132" t="s">
        <v>636</v>
      </c>
      <c r="B119" s="133" t="str">
        <f>B103</f>
        <v>INR</v>
      </c>
      <c r="C119" s="133">
        <f>C94</f>
        <v>238933.23848920639</v>
      </c>
      <c r="D119" s="133">
        <f t="shared" ref="D119:L119" si="48">D94</f>
        <v>238933.23848920639</v>
      </c>
      <c r="E119" s="133">
        <f t="shared" si="48"/>
        <v>238933.23848920639</v>
      </c>
      <c r="F119" s="133">
        <f t="shared" si="48"/>
        <v>209263.71612821557</v>
      </c>
      <c r="G119" s="133">
        <f t="shared" si="48"/>
        <v>238933.23848920639</v>
      </c>
      <c r="H119" s="133">
        <f t="shared" si="48"/>
        <v>238933.23848920639</v>
      </c>
      <c r="I119" s="133">
        <f t="shared" si="48"/>
        <v>238933.23848920639</v>
      </c>
      <c r="J119" s="133">
        <f t="shared" si="48"/>
        <v>238933.23848920639</v>
      </c>
      <c r="K119" s="133">
        <f t="shared" si="48"/>
        <v>238933.23848920639</v>
      </c>
      <c r="L119" s="133">
        <f t="shared" si="48"/>
        <v>238933.23848920639</v>
      </c>
      <c r="M119" s="133">
        <f t="shared" ref="M119:S119" si="49">M94</f>
        <v>238933.23848920639</v>
      </c>
      <c r="N119" s="133">
        <f t="shared" si="49"/>
        <v>238933.23848920639</v>
      </c>
      <c r="O119" s="133">
        <f t="shared" si="49"/>
        <v>238933.23848920639</v>
      </c>
      <c r="P119" s="133">
        <f t="shared" si="49"/>
        <v>238933.23848920639</v>
      </c>
      <c r="Q119" s="133">
        <f t="shared" si="49"/>
        <v>238933.23848920639</v>
      </c>
      <c r="R119" s="133">
        <f t="shared" si="49"/>
        <v>238933.23848920639</v>
      </c>
      <c r="S119" s="133">
        <f t="shared" si="49"/>
        <v>238933.23848920639</v>
      </c>
    </row>
    <row r="120" spans="1:19" ht="21.75" customHeight="1" x14ac:dyDescent="0.35">
      <c r="A120" s="134" t="s">
        <v>637</v>
      </c>
      <c r="B120" s="135" t="str">
        <f>B110</f>
        <v>INR</v>
      </c>
      <c r="C120" s="135">
        <f>C105</f>
        <v>71446.724284613345</v>
      </c>
      <c r="D120" s="135">
        <f t="shared" ref="D120:L120" si="50">D105</f>
        <v>64525.179174850273</v>
      </c>
      <c r="E120" s="135">
        <f t="shared" si="50"/>
        <v>64525.179174850273</v>
      </c>
      <c r="F120" s="135">
        <f t="shared" si="50"/>
        <v>64525.179174850273</v>
      </c>
      <c r="G120" s="135">
        <f t="shared" si="50"/>
        <v>76219.142075678188</v>
      </c>
      <c r="H120" s="135">
        <f t="shared" si="50"/>
        <v>74270.148258873523</v>
      </c>
      <c r="I120" s="135">
        <f t="shared" si="50"/>
        <v>65134.239742601727</v>
      </c>
      <c r="J120" s="135">
        <f t="shared" si="50"/>
        <v>63916.118607098819</v>
      </c>
      <c r="K120" s="135">
        <f t="shared" si="50"/>
        <v>56608.391794081377</v>
      </c>
      <c r="L120" s="135">
        <f t="shared" si="50"/>
        <v>56609.391794081377</v>
      </c>
      <c r="M120" s="135">
        <f t="shared" ref="M120:S120" si="51">M105</f>
        <v>65137.239742601727</v>
      </c>
      <c r="N120" s="135">
        <f t="shared" si="51"/>
        <v>68548.978922009861</v>
      </c>
      <c r="O120" s="135">
        <f t="shared" si="51"/>
        <v>51739.907252069752</v>
      </c>
      <c r="P120" s="135">
        <f t="shared" si="51"/>
        <v>59049.634065087193</v>
      </c>
      <c r="Q120" s="135">
        <f t="shared" si="51"/>
        <v>68551.978922009861</v>
      </c>
      <c r="R120" s="135">
        <f t="shared" si="51"/>
        <v>80977.814504139504</v>
      </c>
      <c r="S120" s="135">
        <f t="shared" si="51"/>
        <v>70015.724284613345</v>
      </c>
    </row>
    <row r="121" spans="1:19" ht="21.75" customHeight="1" x14ac:dyDescent="0.35">
      <c r="A121" s="136" t="s">
        <v>638</v>
      </c>
      <c r="B121" s="137" t="s">
        <v>37</v>
      </c>
      <c r="C121" s="137">
        <f>C114</f>
        <v>10969.560753135807</v>
      </c>
      <c r="D121" s="137">
        <f t="shared" ref="D121:L121" si="52">D114</f>
        <v>10187.954975650362</v>
      </c>
      <c r="E121" s="137">
        <f t="shared" si="52"/>
        <v>11752.857915952804</v>
      </c>
      <c r="F121" s="137">
        <f t="shared" si="52"/>
        <v>11784.946491122293</v>
      </c>
      <c r="G121" s="137">
        <f t="shared" si="52"/>
        <v>10365.579419024365</v>
      </c>
      <c r="H121" s="137">
        <f t="shared" si="52"/>
        <v>9351.4655633836283</v>
      </c>
      <c r="I121" s="137">
        <f t="shared" si="52"/>
        <v>8088.976479684412</v>
      </c>
      <c r="J121" s="137">
        <f t="shared" si="52"/>
        <v>7540.7193912924295</v>
      </c>
      <c r="K121" s="137">
        <f t="shared" si="52"/>
        <v>6577.4044915085533</v>
      </c>
      <c r="L121" s="137">
        <f t="shared" si="52"/>
        <v>6416.0299879521626</v>
      </c>
      <c r="M121" s="137">
        <f t="shared" ref="M121:S121" si="53">M114</f>
        <v>8019.0466888196133</v>
      </c>
      <c r="N121" s="137">
        <f t="shared" si="53"/>
        <v>3155.3489950949297</v>
      </c>
      <c r="O121" s="137">
        <f t="shared" si="53"/>
        <v>5791.2847086493575</v>
      </c>
      <c r="P121" s="137">
        <f t="shared" si="53"/>
        <v>7174.6186180924233</v>
      </c>
      <c r="Q121" s="137">
        <f t="shared" si="53"/>
        <v>9448.5810958829097</v>
      </c>
      <c r="R121" s="137">
        <f t="shared" si="53"/>
        <v>15602.439380005697</v>
      </c>
      <c r="S121" s="137">
        <f t="shared" si="53"/>
        <v>11704.20756454131</v>
      </c>
    </row>
    <row r="122" spans="1:19" ht="24" customHeight="1" x14ac:dyDescent="0.35">
      <c r="A122" s="104" t="s">
        <v>122</v>
      </c>
      <c r="B122" s="96" t="s">
        <v>37</v>
      </c>
      <c r="C122" s="96">
        <f>(C117+C118+C119+C120+C121)*C10</f>
        <v>789596.70375453983</v>
      </c>
      <c r="D122" s="96">
        <f t="shared" ref="D122:S122" si="54">(D117+D118+D119+D120+D121)*D10</f>
        <v>2065392.7664190596</v>
      </c>
      <c r="E122" s="96">
        <f t="shared" si="54"/>
        <v>1643651.5234380749</v>
      </c>
      <c r="F122" s="96">
        <f t="shared" si="54"/>
        <v>903057.30045496707</v>
      </c>
      <c r="G122" s="96">
        <f t="shared" si="54"/>
        <v>1413169.1945718389</v>
      </c>
      <c r="H122" s="96">
        <f t="shared" si="54"/>
        <v>1452114.6337307896</v>
      </c>
      <c r="I122" s="96">
        <f t="shared" si="54"/>
        <v>2710413.92470014</v>
      </c>
      <c r="J122" s="96">
        <f t="shared" si="54"/>
        <v>2097908.3839618466</v>
      </c>
      <c r="K122" s="96">
        <f t="shared" si="54"/>
        <v>4622356.9195916522</v>
      </c>
      <c r="L122" s="96">
        <f t="shared" si="54"/>
        <v>3058722.5559182838</v>
      </c>
      <c r="M122" s="96">
        <f t="shared" si="54"/>
        <v>1147782.1357810458</v>
      </c>
      <c r="N122" s="96">
        <f t="shared" si="54"/>
        <v>1772616.6621106169</v>
      </c>
      <c r="O122" s="96">
        <f t="shared" si="54"/>
        <v>3932739.8022133936</v>
      </c>
      <c r="P122" s="96">
        <f t="shared" si="54"/>
        <v>1626243.2330645835</v>
      </c>
      <c r="Q122" s="96">
        <f t="shared" si="54"/>
        <v>4097344.6880075699</v>
      </c>
      <c r="R122" s="96">
        <f t="shared" si="54"/>
        <v>963459.72908429988</v>
      </c>
      <c r="S122" s="96">
        <f t="shared" si="54"/>
        <v>754432.83481252193</v>
      </c>
    </row>
    <row r="123" spans="1:19" x14ac:dyDescent="0.35">
      <c r="A123" s="6" t="s">
        <v>123</v>
      </c>
      <c r="B123" s="7" t="s">
        <v>124</v>
      </c>
      <c r="C123" s="13">
        <f>IF(C122&gt;0,(C75*C10)/C122,0)</f>
        <v>0.22657538890030562</v>
      </c>
      <c r="D123" s="13">
        <f t="shared" ref="D123:S123" si="55">IF(D122&gt;0,(D75*D10)/D122,0)</f>
        <v>0.22777926607906274</v>
      </c>
      <c r="E123" s="13">
        <f t="shared" si="55"/>
        <v>0.26437536550881163</v>
      </c>
      <c r="F123" s="13">
        <f t="shared" si="55"/>
        <v>0.25720124132074562</v>
      </c>
      <c r="G123" s="13">
        <f t="shared" si="55"/>
        <v>0.24160820651589993</v>
      </c>
      <c r="H123" s="13">
        <f t="shared" si="55"/>
        <v>0.26602922395690171</v>
      </c>
      <c r="I123" s="13">
        <f t="shared" si="55"/>
        <v>0.22889053963327932</v>
      </c>
      <c r="J123" s="13">
        <f t="shared" si="55"/>
        <v>0.25534392187680771</v>
      </c>
      <c r="K123" s="13">
        <f t="shared" si="55"/>
        <v>0.22392768325201479</v>
      </c>
      <c r="L123" s="13">
        <f t="shared" si="55"/>
        <v>0.20882528003560094</v>
      </c>
      <c r="M123" s="13">
        <f t="shared" si="55"/>
        <v>0.24054659619868743</v>
      </c>
      <c r="N123" s="13">
        <f t="shared" si="55"/>
        <v>0.28751504698418529</v>
      </c>
      <c r="O123" s="13">
        <f t="shared" si="55"/>
        <v>0.19071903973709448</v>
      </c>
      <c r="P123" s="13">
        <f t="shared" si="55"/>
        <v>0.20876874544014937</v>
      </c>
      <c r="Q123" s="13">
        <f t="shared" si="55"/>
        <v>0.22786510973744309</v>
      </c>
      <c r="R123" s="13">
        <f t="shared" si="55"/>
        <v>0.24756430342723612</v>
      </c>
      <c r="S123" s="13">
        <f t="shared" si="55"/>
        <v>0.29661973093969407</v>
      </c>
    </row>
    <row r="124" spans="1:19" x14ac:dyDescent="0.35">
      <c r="A124" s="6" t="s">
        <v>125</v>
      </c>
      <c r="B124" s="7" t="s">
        <v>124</v>
      </c>
      <c r="C124" s="13">
        <f>IF(C122&gt;0,C84*C10/C122,0)</f>
        <v>0.36644529875082626</v>
      </c>
      <c r="D124" s="13">
        <f t="shared" ref="D124:S124" si="56">IF(D122&gt;0,D84*D10/D122,0)</f>
        <v>0.31664679504707149</v>
      </c>
      <c r="E124" s="13">
        <f t="shared" si="56"/>
        <v>0.35207462880546669</v>
      </c>
      <c r="F124" s="13">
        <f t="shared" si="56"/>
        <v>0.42656872360804265</v>
      </c>
      <c r="G124" s="13">
        <f t="shared" si="56"/>
        <v>0.29769966796329961</v>
      </c>
      <c r="H124" s="13">
        <f t="shared" si="56"/>
        <v>0.28971541931171968</v>
      </c>
      <c r="I124" s="13">
        <f t="shared" si="56"/>
        <v>0.31043228944932688</v>
      </c>
      <c r="J124" s="13">
        <f t="shared" si="56"/>
        <v>0.30079959869757428</v>
      </c>
      <c r="K124" s="13">
        <f t="shared" si="56"/>
        <v>0.31854961129442144</v>
      </c>
      <c r="L124" s="13">
        <f t="shared" si="56"/>
        <v>0.19885164112813683</v>
      </c>
      <c r="M124" s="13">
        <f t="shared" si="56"/>
        <v>0.21564022673307692</v>
      </c>
      <c r="N124" s="13">
        <f t="shared" si="56"/>
        <v>0.18675780673630013</v>
      </c>
      <c r="O124" s="13">
        <f t="shared" si="56"/>
        <v>0.20621145582618328</v>
      </c>
      <c r="P124" s="13">
        <f t="shared" si="56"/>
        <v>0.22829426278403211</v>
      </c>
      <c r="Q124" s="13">
        <f t="shared" si="56"/>
        <v>0.30802875913613353</v>
      </c>
      <c r="R124" s="13">
        <f t="shared" si="56"/>
        <v>0.40419748562830299</v>
      </c>
      <c r="S124" s="13">
        <f t="shared" si="56"/>
        <v>0.27835479887641079</v>
      </c>
    </row>
    <row r="125" spans="1:19" x14ac:dyDescent="0.35">
      <c r="A125" s="6" t="s">
        <v>126</v>
      </c>
      <c r="B125" s="7" t="s">
        <v>124</v>
      </c>
      <c r="C125" s="13">
        <f>IF(C122&gt;0,C94*C10/C122,0)</f>
        <v>0.30260161593010276</v>
      </c>
      <c r="D125" s="13">
        <f t="shared" ref="D125:S125" si="57">IF(D122&gt;0,D94*D10/D122,0)</f>
        <v>0.34705249632029722</v>
      </c>
      <c r="E125" s="13">
        <f t="shared" si="57"/>
        <v>0.29073466617719868</v>
      </c>
      <c r="F125" s="13">
        <f t="shared" si="57"/>
        <v>0.23172805980615729</v>
      </c>
      <c r="G125" s="13">
        <f t="shared" si="57"/>
        <v>0.33815234496616409</v>
      </c>
      <c r="H125" s="13">
        <f t="shared" si="57"/>
        <v>0.32908316318710507</v>
      </c>
      <c r="I125" s="13">
        <f t="shared" si="57"/>
        <v>0.35261512835629366</v>
      </c>
      <c r="J125" s="13">
        <f t="shared" si="57"/>
        <v>0.34167350726439305</v>
      </c>
      <c r="K125" s="13">
        <f t="shared" si="57"/>
        <v>0.36183546587142373</v>
      </c>
      <c r="L125" s="13">
        <f t="shared" si="57"/>
        <v>0.46869220883122753</v>
      </c>
      <c r="M125" s="13">
        <f t="shared" si="57"/>
        <v>0.41633900901692722</v>
      </c>
      <c r="N125" s="13">
        <f t="shared" si="57"/>
        <v>0.40437378864200735</v>
      </c>
      <c r="O125" s="13">
        <f t="shared" si="57"/>
        <v>0.48603925101728185</v>
      </c>
      <c r="P125" s="13">
        <f t="shared" si="57"/>
        <v>0.44077029862060779</v>
      </c>
      <c r="Q125" s="13">
        <f t="shared" si="57"/>
        <v>0.34988499628337583</v>
      </c>
      <c r="R125" s="13">
        <f t="shared" si="57"/>
        <v>0.24799504460481755</v>
      </c>
      <c r="S125" s="13">
        <f t="shared" si="57"/>
        <v>0.31670577878358352</v>
      </c>
    </row>
    <row r="126" spans="1:19" x14ac:dyDescent="0.35">
      <c r="A126" s="6" t="s">
        <v>127</v>
      </c>
      <c r="B126" s="7" t="s">
        <v>124</v>
      </c>
      <c r="C126" s="13">
        <f>IF(C122&gt;0,C105*C10/C122,0)</f>
        <v>9.0485084277686936E-2</v>
      </c>
      <c r="D126" s="13">
        <f t="shared" ref="D126:S126" si="58">IF(D122&gt;0,D105*D10/D122,0)</f>
        <v>9.3723354062176051E-2</v>
      </c>
      <c r="E126" s="13">
        <f t="shared" si="58"/>
        <v>7.8514427486284968E-2</v>
      </c>
      <c r="F126" s="13">
        <f t="shared" si="58"/>
        <v>7.1451921314784783E-2</v>
      </c>
      <c r="G126" s="13">
        <f t="shared" si="58"/>
        <v>0.10786980408070813</v>
      </c>
      <c r="H126" s="13">
        <f t="shared" si="58"/>
        <v>0.1022924038277306</v>
      </c>
      <c r="I126" s="13">
        <f t="shared" si="58"/>
        <v>9.6124417232408804E-2</v>
      </c>
      <c r="J126" s="13">
        <f t="shared" si="58"/>
        <v>9.1399775741962841E-2</v>
      </c>
      <c r="K126" s="13">
        <f t="shared" si="58"/>
        <v>8.5726556700769854E-2</v>
      </c>
      <c r="L126" s="13">
        <f t="shared" si="58"/>
        <v>0.11104516495204558</v>
      </c>
      <c r="M126" s="13">
        <f t="shared" si="58"/>
        <v>0.11350105165781653</v>
      </c>
      <c r="N126" s="13">
        <f t="shared" si="58"/>
        <v>0.11601320305833644</v>
      </c>
      <c r="O126" s="13">
        <f t="shared" si="58"/>
        <v>0.10524959159098175</v>
      </c>
      <c r="P126" s="13">
        <f t="shared" si="58"/>
        <v>0.10893136930164642</v>
      </c>
      <c r="Q126" s="13">
        <f t="shared" si="58"/>
        <v>0.10038498219003127</v>
      </c>
      <c r="R126" s="13">
        <f t="shared" si="58"/>
        <v>8.4048987269144268E-2</v>
      </c>
      <c r="S126" s="13">
        <f t="shared" si="58"/>
        <v>9.2805775482998953E-2</v>
      </c>
    </row>
    <row r="127" spans="1:19" x14ac:dyDescent="0.35">
      <c r="A127" s="6" t="s">
        <v>128</v>
      </c>
      <c r="B127" s="7" t="s">
        <v>124</v>
      </c>
      <c r="C127" s="13">
        <f>IF(C122&gt;0,C114*C10/C122,0)</f>
        <v>1.3892612141078403E-2</v>
      </c>
      <c r="D127" s="13">
        <f t="shared" ref="D127:S127" si="59">IF(D122&gt;0,D114*D10/D122,0)</f>
        <v>1.4798088491392443E-2</v>
      </c>
      <c r="E127" s="13">
        <f t="shared" si="59"/>
        <v>1.4300912022238144E-2</v>
      </c>
      <c r="F127" s="13">
        <f t="shared" si="59"/>
        <v>1.3050053950269765E-2</v>
      </c>
      <c r="G127" s="13">
        <f t="shared" si="59"/>
        <v>1.4669976473928051E-2</v>
      </c>
      <c r="H127" s="13">
        <f t="shared" si="59"/>
        <v>1.2879789716542881E-2</v>
      </c>
      <c r="I127" s="13">
        <f t="shared" si="59"/>
        <v>1.1937625328691175E-2</v>
      </c>
      <c r="J127" s="13">
        <f t="shared" si="59"/>
        <v>1.0783196419262083E-2</v>
      </c>
      <c r="K127" s="13">
        <f t="shared" si="59"/>
        <v>9.9606828813702461E-3</v>
      </c>
      <c r="L127" s="13">
        <f t="shared" si="59"/>
        <v>1.2585705052989263E-2</v>
      </c>
      <c r="M127" s="13">
        <f t="shared" si="59"/>
        <v>1.3973116393491856E-2</v>
      </c>
      <c r="N127" s="13">
        <f t="shared" si="59"/>
        <v>5.34015457917098E-3</v>
      </c>
      <c r="O127" s="13">
        <f t="shared" si="59"/>
        <v>1.1780661828458525E-2</v>
      </c>
      <c r="P127" s="13">
        <f t="shared" si="59"/>
        <v>1.3235323853564337E-2</v>
      </c>
      <c r="Q127" s="13">
        <f t="shared" si="59"/>
        <v>1.3836152653016123E-2</v>
      </c>
      <c r="R127" s="13">
        <f t="shared" si="59"/>
        <v>1.6194179070499096E-2</v>
      </c>
      <c r="S127" s="13">
        <f t="shared" si="59"/>
        <v>1.5513915917312677E-2</v>
      </c>
    </row>
    <row r="129" spans="1:19" x14ac:dyDescent="0.35">
      <c r="A129" s="3" t="s">
        <v>129</v>
      </c>
      <c r="B129" s="4" t="s">
        <v>37</v>
      </c>
      <c r="C129" s="8">
        <f>C122*'Cost Rate Tables'!C8</f>
        <v>1421274.0667581717</v>
      </c>
      <c r="D129" s="8">
        <f>D122*'Cost Rate Tables'!C8</f>
        <v>3717706.9795543072</v>
      </c>
      <c r="E129" s="8">
        <f>E122*'Cost Rate Tables'!C8</f>
        <v>2958572.7421885347</v>
      </c>
      <c r="F129" s="8">
        <f>F122*'Cost Rate Tables'!C8</f>
        <v>1625503.1408189407</v>
      </c>
      <c r="G129" s="8">
        <f>G122*'Cost Rate Tables'!C8</f>
        <v>2543704.5502293101</v>
      </c>
      <c r="H129" s="8">
        <f>H122*'Cost Rate Tables'!C8</f>
        <v>2613806.3407154214</v>
      </c>
      <c r="I129" s="8">
        <f>I122*'Cost Rate Tables'!C8</f>
        <v>4878745.0644602524</v>
      </c>
      <c r="J129" s="8">
        <f>J122*'Cost Rate Tables'!C8</f>
        <v>3776235.0911313239</v>
      </c>
      <c r="K129" s="8">
        <f>K122*'Cost Rate Tables'!C8</f>
        <v>8320242.4552649744</v>
      </c>
      <c r="L129" s="8">
        <f>L122*'Cost Rate Tables'!$C$8</f>
        <v>5505700.6006529108</v>
      </c>
      <c r="M129" s="8">
        <f>M122*'Cost Rate Tables'!$C$8</f>
        <v>2066007.8444058825</v>
      </c>
      <c r="N129" s="8">
        <f>N122*'Cost Rate Tables'!$C$8</f>
        <v>3190709.9917991105</v>
      </c>
      <c r="O129" s="8">
        <f>O122*'Cost Rate Tables'!$C$8</f>
        <v>7078931.6439841082</v>
      </c>
      <c r="P129" s="8">
        <f>P122*'Cost Rate Tables'!$C$8</f>
        <v>2927237.8195162504</v>
      </c>
      <c r="Q129" s="8">
        <f>Q122*'Cost Rate Tables'!$C$8</f>
        <v>7375220.4384136256</v>
      </c>
      <c r="R129" s="8">
        <f>R122*'Cost Rate Tables'!$C$8</f>
        <v>1734227.5123517399</v>
      </c>
      <c r="S129" s="8">
        <f>S122*'Cost Rate Tables'!$C$8</f>
        <v>1357979.1026625396</v>
      </c>
    </row>
    <row r="130" spans="1:19" x14ac:dyDescent="0.35">
      <c r="A130" s="3" t="s">
        <v>130</v>
      </c>
      <c r="B130" s="4" t="s">
        <v>37</v>
      </c>
      <c r="C130" s="8">
        <f>C129*(1-'Cost Rate Tables'!C7)</f>
        <v>1279146.6600823544</v>
      </c>
      <c r="D130" s="8">
        <f>D129*(1-'Cost Rate Tables'!C7)</f>
        <v>3345936.2815988767</v>
      </c>
      <c r="E130" s="8">
        <f>E129*(1-'Cost Rate Tables'!C7)</f>
        <v>2662715.4679696811</v>
      </c>
      <c r="F130" s="8">
        <f>F129*(1-'Cost Rate Tables'!C7)</f>
        <v>1462952.8267370467</v>
      </c>
      <c r="G130" s="8">
        <f>G129*(1-'Cost Rate Tables'!C7)</f>
        <v>2289334.095206379</v>
      </c>
      <c r="H130" s="8">
        <f>H129*(1-'Cost Rate Tables'!C7)</f>
        <v>2352425.7066438794</v>
      </c>
      <c r="I130" s="8">
        <f>I129*(1-'Cost Rate Tables'!C7)</f>
        <v>4390870.5580142271</v>
      </c>
      <c r="J130" s="8">
        <f>J129*(1-'Cost Rate Tables'!C7)</f>
        <v>3398611.5820181915</v>
      </c>
      <c r="K130" s="8">
        <f>K129*(1-'Cost Rate Tables'!C7)</f>
        <v>7488218.2097384771</v>
      </c>
      <c r="L130" s="8">
        <f>L129*(1-'Cost Rate Tables'!$C$7)</f>
        <v>4955130.5405876199</v>
      </c>
      <c r="M130" s="8">
        <f>M129*(1-'Cost Rate Tables'!$C$7)</f>
        <v>1859407.0599652943</v>
      </c>
      <c r="N130" s="8">
        <f>N129*(1-'Cost Rate Tables'!$C$7)</f>
        <v>2871638.9926191997</v>
      </c>
      <c r="O130" s="8">
        <f>O129*(1-'Cost Rate Tables'!$C$7)</f>
        <v>6371038.4795856979</v>
      </c>
      <c r="P130" s="8">
        <f>P129*(1-'Cost Rate Tables'!$C$7)</f>
        <v>2634514.0375646255</v>
      </c>
      <c r="Q130" s="8">
        <f>Q129*(1-'Cost Rate Tables'!$C$7)</f>
        <v>6637698.3945722636</v>
      </c>
      <c r="R130" s="8">
        <f>R129*(1-'Cost Rate Tables'!$C$7)</f>
        <v>1560804.7611165659</v>
      </c>
      <c r="S130" s="8">
        <f>S129*(1-'Cost Rate Tables'!$C$7)</f>
        <v>1222181.1923962857</v>
      </c>
    </row>
    <row r="131" spans="1:19" x14ac:dyDescent="0.35">
      <c r="A131" s="3" t="s">
        <v>131</v>
      </c>
      <c r="B131" s="4" t="s">
        <v>37</v>
      </c>
      <c r="C131" s="8">
        <f>C130*(1+'Cost Rate Tables'!C6)</f>
        <v>1509393.0588971782</v>
      </c>
      <c r="D131" s="8">
        <f>D130*(1+'Cost Rate Tables'!C6)</f>
        <v>3948204.8122866745</v>
      </c>
      <c r="E131" s="8">
        <f>E130*(1+'Cost Rate Tables'!C6)</f>
        <v>3142004.2522042235</v>
      </c>
      <c r="F131" s="8">
        <f>F130*(1+'Cost Rate Tables'!C6)</f>
        <v>1726284.335549715</v>
      </c>
      <c r="G131" s="8">
        <f>G130*(1+'Cost Rate Tables'!C6)</f>
        <v>2701414.232343527</v>
      </c>
      <c r="H131" s="8">
        <f>H130*(1+'Cost Rate Tables'!C6)</f>
        <v>2775862.3338397774</v>
      </c>
      <c r="I131" s="8">
        <f>I130*(1+'Cost Rate Tables'!C6)</f>
        <v>5181227.258456788</v>
      </c>
      <c r="J131" s="8">
        <f>J130*(1+'Cost Rate Tables'!C6)</f>
        <v>4010361.6667814655</v>
      </c>
      <c r="K131" s="8">
        <f>K130*(1+'Cost Rate Tables'!C6)</f>
        <v>8836097.4874914028</v>
      </c>
      <c r="L131" s="8">
        <f>L130*(1+'Cost Rate Tables'!$C$6)</f>
        <v>5847054.0378933912</v>
      </c>
      <c r="M131" s="8">
        <f>M130*(1+'Cost Rate Tables'!$C$6)</f>
        <v>2194100.3307590471</v>
      </c>
      <c r="N131" s="8">
        <f>N130*(1+'Cost Rate Tables'!$C$6)</f>
        <v>3388534.0112906555</v>
      </c>
      <c r="O131" s="8">
        <f>O130*(1+'Cost Rate Tables'!$C$6)</f>
        <v>7517825.4059111234</v>
      </c>
      <c r="P131" s="8">
        <f>P130*(1+'Cost Rate Tables'!$C$6)</f>
        <v>3108726.5643262579</v>
      </c>
      <c r="Q131" s="8">
        <f>Q130*(1+'Cost Rate Tables'!$C$6)</f>
        <v>7832484.1055952702</v>
      </c>
      <c r="R131" s="8">
        <f>R130*(1+'Cost Rate Tables'!$C$6)</f>
        <v>1841749.6181175476</v>
      </c>
      <c r="S131" s="8">
        <f>S130*(1+'Cost Rate Tables'!$C$6)</f>
        <v>1442173.807027617</v>
      </c>
    </row>
    <row r="132" spans="1:19" x14ac:dyDescent="0.35">
      <c r="A132" s="3" t="s">
        <v>132</v>
      </c>
      <c r="B132" s="4" t="s">
        <v>133</v>
      </c>
      <c r="C132" s="8">
        <f>C130/'Cost Rate Tables'!C5</f>
        <v>11628.606000748678</v>
      </c>
      <c r="D132" s="8">
        <f>D130/'Cost Rate Tables'!C5</f>
        <v>30417.602559989788</v>
      </c>
      <c r="E132" s="8">
        <f>E130/'Cost Rate Tables'!C5</f>
        <v>24206.504254269828</v>
      </c>
      <c r="F132" s="8">
        <f>F130/'Cost Rate Tables'!C5</f>
        <v>13299.571152154969</v>
      </c>
      <c r="G132" s="8">
        <f>G130/'Cost Rate Tables'!C5</f>
        <v>20812.128138239808</v>
      </c>
      <c r="H132" s="8">
        <f>H130/'Cost Rate Tables'!C5</f>
        <v>21385.688242217086</v>
      </c>
      <c r="I132" s="8">
        <f>I130/'Cost Rate Tables'!C5</f>
        <v>39917.005072856613</v>
      </c>
      <c r="J132" s="8">
        <f>J130/'Cost Rate Tables'!C5</f>
        <v>30896.468927438105</v>
      </c>
      <c r="K132" s="8">
        <f>K130/'Cost Rate Tables'!C5</f>
        <v>68074.710997622518</v>
      </c>
      <c r="L132" s="8">
        <f>L130/'Cost Rate Tables'!$C$5</f>
        <v>45046.64127806927</v>
      </c>
      <c r="M132" s="8">
        <f>M130/'Cost Rate Tables'!$C$5</f>
        <v>16903.70054513904</v>
      </c>
      <c r="N132" s="8">
        <f>N130/'Cost Rate Tables'!$C$5</f>
        <v>26105.809023810907</v>
      </c>
      <c r="O132" s="8">
        <f>O130/'Cost Rate Tables'!$C$5</f>
        <v>57918.531632597253</v>
      </c>
      <c r="P132" s="8">
        <f>P130/'Cost Rate Tables'!$C$5</f>
        <v>23950.127614223868</v>
      </c>
      <c r="Q132" s="8">
        <f>Q130/'Cost Rate Tables'!$C$5</f>
        <v>60342.712677929667</v>
      </c>
      <c r="R132" s="8">
        <f>R130/'Cost Rate Tables'!$C$5</f>
        <v>14189.13419196878</v>
      </c>
      <c r="S132" s="8">
        <f>S130/'Cost Rate Tables'!$C$5</f>
        <v>11110.738112693507</v>
      </c>
    </row>
    <row r="133" spans="1:19" x14ac:dyDescent="0.35">
      <c r="A133" s="3" t="s">
        <v>134</v>
      </c>
      <c r="B133" s="4" t="s">
        <v>124</v>
      </c>
      <c r="C133" s="13">
        <f t="shared" ref="C133:S133" si="60">IF(C129&gt;0,(C129-C122)/C129,0)</f>
        <v>0.44444444444444442</v>
      </c>
      <c r="D133" s="13">
        <f t="shared" si="60"/>
        <v>0.44444444444444442</v>
      </c>
      <c r="E133" s="13">
        <f t="shared" si="60"/>
        <v>0.44444444444444442</v>
      </c>
      <c r="F133" s="13">
        <f t="shared" si="60"/>
        <v>0.44444444444444442</v>
      </c>
      <c r="G133" s="13">
        <f t="shared" si="60"/>
        <v>0.44444444444444442</v>
      </c>
      <c r="H133" s="13">
        <f t="shared" si="60"/>
        <v>0.44444444444444442</v>
      </c>
      <c r="I133" s="13">
        <f t="shared" si="60"/>
        <v>0.44444444444444448</v>
      </c>
      <c r="J133" s="13">
        <f t="shared" si="60"/>
        <v>0.44444444444444448</v>
      </c>
      <c r="K133" s="13">
        <f t="shared" si="60"/>
        <v>0.44444444444444448</v>
      </c>
      <c r="L133" s="13">
        <f t="shared" si="60"/>
        <v>0.44444444444444442</v>
      </c>
      <c r="M133" s="13">
        <f t="shared" si="60"/>
        <v>0.44444444444444448</v>
      </c>
      <c r="N133" s="13">
        <f t="shared" si="60"/>
        <v>0.44444444444444448</v>
      </c>
      <c r="O133" s="13">
        <f t="shared" si="60"/>
        <v>0.44444444444444442</v>
      </c>
      <c r="P133" s="13">
        <f t="shared" si="60"/>
        <v>0.44444444444444448</v>
      </c>
      <c r="Q133" s="13">
        <f t="shared" si="60"/>
        <v>0.44444444444444442</v>
      </c>
      <c r="R133" s="13">
        <f t="shared" si="60"/>
        <v>0.44444444444444448</v>
      </c>
      <c r="S133" s="13">
        <f t="shared" si="60"/>
        <v>0.44444444444444448</v>
      </c>
    </row>
    <row r="134" spans="1:19" x14ac:dyDescent="0.35">
      <c r="A134" s="3" t="s">
        <v>135</v>
      </c>
      <c r="B134" s="4" t="s">
        <v>37</v>
      </c>
      <c r="C134" s="8">
        <f t="shared" ref="C134:S134" si="61">C130*C10</f>
        <v>1279146.6600823544</v>
      </c>
      <c r="D134" s="8">
        <f t="shared" si="61"/>
        <v>10037808.84479663</v>
      </c>
      <c r="E134" s="8">
        <f t="shared" si="61"/>
        <v>5325430.9359393623</v>
      </c>
      <c r="F134" s="8">
        <f t="shared" si="61"/>
        <v>1462952.8267370467</v>
      </c>
      <c r="G134" s="8">
        <f t="shared" si="61"/>
        <v>4578668.1904127579</v>
      </c>
      <c r="H134" s="8">
        <f t="shared" si="61"/>
        <v>4704851.4132877588</v>
      </c>
      <c r="I134" s="8">
        <f t="shared" si="61"/>
        <v>17563482.232056908</v>
      </c>
      <c r="J134" s="8">
        <f t="shared" si="61"/>
        <v>10195834.746054575</v>
      </c>
      <c r="K134" s="8">
        <f t="shared" si="61"/>
        <v>52417527.468169339</v>
      </c>
      <c r="L134" s="8">
        <f t="shared" si="61"/>
        <v>29730783.243525721</v>
      </c>
      <c r="M134" s="8">
        <f t="shared" si="61"/>
        <v>3718814.1199305886</v>
      </c>
      <c r="N134" s="8">
        <f t="shared" si="61"/>
        <v>8614916.977857599</v>
      </c>
      <c r="O134" s="8">
        <f t="shared" si="61"/>
        <v>50968307.836685583</v>
      </c>
      <c r="P134" s="8">
        <f t="shared" si="61"/>
        <v>7903542.112693876</v>
      </c>
      <c r="Q134" s="8">
        <f t="shared" si="61"/>
        <v>39826190.367433578</v>
      </c>
      <c r="R134" s="8">
        <f t="shared" si="61"/>
        <v>1560804.7611165659</v>
      </c>
      <c r="S134" s="8">
        <f t="shared" si="61"/>
        <v>1222181.1923962857</v>
      </c>
    </row>
    <row r="136" spans="1:19" ht="27.75" customHeight="1" x14ac:dyDescent="0.35">
      <c r="A136" s="213" t="s">
        <v>136</v>
      </c>
      <c r="B136" s="214"/>
      <c r="C136" s="214"/>
      <c r="D136" s="214"/>
      <c r="E136" s="214"/>
      <c r="F136" s="214"/>
      <c r="G136" s="214"/>
      <c r="H136" s="214"/>
      <c r="I136" s="214"/>
      <c r="J136" s="214"/>
      <c r="K136" s="215"/>
      <c r="L136" s="14"/>
      <c r="M136" s="106"/>
      <c r="N136" s="106"/>
      <c r="O136" s="106"/>
      <c r="P136" s="106"/>
      <c r="Q136" s="106"/>
      <c r="R136" s="106"/>
      <c r="S136" s="106"/>
    </row>
    <row r="138" spans="1:19" x14ac:dyDescent="0.35">
      <c r="C138" s="101"/>
    </row>
    <row r="139" spans="1:19" x14ac:dyDescent="0.35">
      <c r="A139" t="s">
        <v>803</v>
      </c>
      <c r="C139" s="204">
        <f>SUM(C122:S122)/110</f>
        <v>318645.48174195655</v>
      </c>
    </row>
    <row r="141" spans="1:19" x14ac:dyDescent="0.35">
      <c r="A141" t="s">
        <v>786</v>
      </c>
      <c r="C141" s="204">
        <f>SUM(C130:S130)/110</f>
        <v>516205.6804219698</v>
      </c>
    </row>
  </sheetData>
  <mergeCells count="8">
    <mergeCell ref="A136:K136"/>
    <mergeCell ref="A1:L1"/>
    <mergeCell ref="A6:L6"/>
    <mergeCell ref="B2:J2"/>
    <mergeCell ref="B3:E3"/>
    <mergeCell ref="I3:J3"/>
    <mergeCell ref="B4:E4"/>
    <mergeCell ref="I4:J4"/>
  </mergeCells>
  <phoneticPr fontId="64" type="noConversion"/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Bearing" prompt="Select form List" xr:uid="{23482CA6-3BE5-45A1-8A9B-E097DE177060}">
          <x14:formula1>
            <xm:f>BRG_DATA!$A$2:$A$150</xm:f>
          </x14:formula1>
          <xm:sqref>C39:S39 C48:S49 C37:S37 C43:S43 C41:S41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4DDC-E54E-4CD2-A592-A92FD883BF4F}">
  <dimension ref="A1:J17"/>
  <sheetViews>
    <sheetView workbookViewId="0">
      <selection activeCell="J14" sqref="J14"/>
    </sheetView>
  </sheetViews>
  <sheetFormatPr defaultRowHeight="14.5" x14ac:dyDescent="0.35"/>
  <cols>
    <col min="1" max="1" width="12.08984375" customWidth="1"/>
    <col min="2" max="2" width="21.1796875" customWidth="1"/>
    <col min="3" max="3" width="13.81640625" customWidth="1"/>
    <col min="4" max="4" width="14" customWidth="1"/>
    <col min="5" max="5" width="12.08984375" bestFit="1" customWidth="1"/>
    <col min="6" max="6" width="17.453125" customWidth="1"/>
    <col min="7" max="7" width="20.7265625" customWidth="1"/>
    <col min="8" max="8" width="13.26953125" customWidth="1"/>
  </cols>
  <sheetData>
    <row r="1" spans="1:10" ht="15" thickBot="1" x14ac:dyDescent="0.4">
      <c r="A1" s="176" t="s">
        <v>769</v>
      </c>
      <c r="B1" s="183"/>
      <c r="C1" s="183"/>
      <c r="D1" s="183"/>
      <c r="E1" s="183"/>
      <c r="F1" s="184" t="s">
        <v>739</v>
      </c>
      <c r="G1" s="183"/>
    </row>
    <row r="2" spans="1:10" ht="15" thickBot="1" x14ac:dyDescent="0.4">
      <c r="B2" s="185" t="s">
        <v>162</v>
      </c>
      <c r="C2" s="186" t="s">
        <v>724</v>
      </c>
      <c r="D2" s="187" t="s">
        <v>725</v>
      </c>
      <c r="E2" s="188" t="s">
        <v>726</v>
      </c>
      <c r="F2" s="189" t="s">
        <v>740</v>
      </c>
      <c r="G2" s="189" t="s">
        <v>741</v>
      </c>
    </row>
    <row r="3" spans="1:10" ht="15" thickBot="1" x14ac:dyDescent="0.4">
      <c r="B3" s="190" t="s">
        <v>737</v>
      </c>
      <c r="C3" s="191" t="s">
        <v>727</v>
      </c>
      <c r="D3" s="192" t="s">
        <v>728</v>
      </c>
      <c r="E3" s="188" t="s">
        <v>729</v>
      </c>
      <c r="F3" s="188">
        <v>310</v>
      </c>
      <c r="G3" s="193" t="s">
        <v>742</v>
      </c>
    </row>
    <row r="4" spans="1:10" ht="29" thickBot="1" x14ac:dyDescent="0.4">
      <c r="B4" s="190" t="s">
        <v>719</v>
      </c>
      <c r="C4" s="191" t="s">
        <v>730</v>
      </c>
      <c r="D4" s="192" t="s">
        <v>731</v>
      </c>
      <c r="E4" s="188" t="s">
        <v>732</v>
      </c>
      <c r="F4" s="188">
        <v>330</v>
      </c>
      <c r="G4" s="193" t="s">
        <v>742</v>
      </c>
      <c r="J4" s="175" t="s">
        <v>738</v>
      </c>
    </row>
    <row r="5" spans="1:10" ht="43" thickBot="1" x14ac:dyDescent="0.4">
      <c r="B5" s="190" t="s">
        <v>733</v>
      </c>
      <c r="C5" s="191" t="s">
        <v>734</v>
      </c>
      <c r="D5" s="192" t="s">
        <v>731</v>
      </c>
      <c r="E5" s="188" t="s">
        <v>735</v>
      </c>
      <c r="F5" s="188" t="s">
        <v>736</v>
      </c>
      <c r="G5" s="193" t="s">
        <v>742</v>
      </c>
    </row>
    <row r="6" spans="1:10" ht="15" thickBot="1" x14ac:dyDescent="0.4">
      <c r="B6" s="173"/>
      <c r="C6" s="174"/>
      <c r="D6" s="174"/>
      <c r="E6" s="172"/>
    </row>
    <row r="7" spans="1:10" x14ac:dyDescent="0.35">
      <c r="B7" s="175"/>
      <c r="C7" s="172"/>
      <c r="D7" s="172"/>
      <c r="E7" s="172"/>
    </row>
    <row r="8" spans="1:10" x14ac:dyDescent="0.35">
      <c r="B8" s="175"/>
      <c r="C8" s="172"/>
      <c r="D8" s="172"/>
      <c r="E8" s="172"/>
    </row>
    <row r="9" spans="1:10" x14ac:dyDescent="0.35">
      <c r="B9" s="175"/>
      <c r="C9" s="172"/>
      <c r="D9" s="172"/>
      <c r="E9" s="172"/>
    </row>
    <row r="10" spans="1:10" x14ac:dyDescent="0.35">
      <c r="A10" t="s">
        <v>770</v>
      </c>
    </row>
    <row r="11" spans="1:10" x14ac:dyDescent="0.35">
      <c r="B11" s="177" t="s">
        <v>743</v>
      </c>
      <c r="C11" s="178"/>
      <c r="D11" s="178"/>
      <c r="E11" s="178"/>
      <c r="F11" s="178"/>
      <c r="G11" s="178"/>
      <c r="H11" s="178"/>
    </row>
    <row r="12" spans="1:10" s="194" customFormat="1" ht="35" x14ac:dyDescent="0.3">
      <c r="B12" s="195" t="s">
        <v>744</v>
      </c>
      <c r="C12" s="195" t="s">
        <v>745</v>
      </c>
      <c r="D12" s="195" t="s">
        <v>746</v>
      </c>
      <c r="E12" s="196" t="s">
        <v>747</v>
      </c>
      <c r="F12" s="196" t="s">
        <v>748</v>
      </c>
      <c r="G12" s="195" t="s">
        <v>749</v>
      </c>
      <c r="H12" s="197" t="s">
        <v>750</v>
      </c>
      <c r="I12" s="201" t="s">
        <v>776</v>
      </c>
      <c r="J12" s="201" t="s">
        <v>777</v>
      </c>
    </row>
    <row r="13" spans="1:10" x14ac:dyDescent="0.35">
      <c r="A13" t="s">
        <v>771</v>
      </c>
      <c r="B13" s="179" t="s">
        <v>751</v>
      </c>
      <c r="C13" s="180" t="s">
        <v>752</v>
      </c>
      <c r="D13" s="198" t="s">
        <v>753</v>
      </c>
      <c r="E13" s="178" t="s">
        <v>754</v>
      </c>
      <c r="F13" s="178"/>
      <c r="G13" s="180" t="s">
        <v>755</v>
      </c>
      <c r="H13" s="180" t="s">
        <v>756</v>
      </c>
      <c r="I13" s="164" t="s">
        <v>775</v>
      </c>
      <c r="J13" s="164" t="s">
        <v>775</v>
      </c>
    </row>
    <row r="14" spans="1:10" x14ac:dyDescent="0.35">
      <c r="A14" t="s">
        <v>772</v>
      </c>
      <c r="B14" s="181" t="s">
        <v>773</v>
      </c>
      <c r="C14" s="180" t="s">
        <v>757</v>
      </c>
      <c r="D14" s="199" t="s">
        <v>758</v>
      </c>
      <c r="E14" s="178" t="s">
        <v>759</v>
      </c>
      <c r="F14" s="178" t="s">
        <v>760</v>
      </c>
      <c r="G14" s="200" t="s">
        <v>761</v>
      </c>
      <c r="H14" s="180" t="s">
        <v>762</v>
      </c>
      <c r="I14">
        <v>110</v>
      </c>
      <c r="J14">
        <v>210</v>
      </c>
    </row>
    <row r="15" spans="1:10" x14ac:dyDescent="0.35">
      <c r="A15" t="s">
        <v>772</v>
      </c>
      <c r="B15" s="181" t="s">
        <v>763</v>
      </c>
      <c r="C15" s="180" t="s">
        <v>764</v>
      </c>
      <c r="D15" s="180" t="s">
        <v>774</v>
      </c>
      <c r="E15" s="178"/>
      <c r="F15" s="178" t="s">
        <v>765</v>
      </c>
      <c r="G15" s="200" t="s">
        <v>761</v>
      </c>
      <c r="H15" s="180" t="s">
        <v>762</v>
      </c>
      <c r="I15">
        <v>110</v>
      </c>
      <c r="J15">
        <v>210</v>
      </c>
    </row>
    <row r="16" spans="1:10" x14ac:dyDescent="0.35">
      <c r="A16" t="s">
        <v>772</v>
      </c>
      <c r="B16" s="181" t="s">
        <v>766</v>
      </c>
      <c r="C16" s="180" t="s">
        <v>764</v>
      </c>
      <c r="D16" s="180" t="s">
        <v>774</v>
      </c>
      <c r="E16" s="178"/>
      <c r="F16" s="178" t="s">
        <v>765</v>
      </c>
      <c r="G16" s="200" t="s">
        <v>761</v>
      </c>
      <c r="H16" s="180" t="s">
        <v>767</v>
      </c>
      <c r="I16">
        <v>130</v>
      </c>
      <c r="J16">
        <v>210</v>
      </c>
    </row>
    <row r="17" spans="1:10" x14ac:dyDescent="0.35">
      <c r="A17" t="s">
        <v>772</v>
      </c>
      <c r="B17" s="179" t="s">
        <v>768</v>
      </c>
      <c r="C17" s="180" t="s">
        <v>764</v>
      </c>
      <c r="D17" s="180" t="s">
        <v>774</v>
      </c>
      <c r="E17" s="182"/>
      <c r="F17" s="182" t="s">
        <v>765</v>
      </c>
      <c r="G17" s="200"/>
      <c r="H17" s="180" t="s">
        <v>735</v>
      </c>
      <c r="J17">
        <v>210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7BD1-DEDD-472B-BD45-7AEE92641363}">
  <sheetPr>
    <tabColor rgb="FFFFC000"/>
  </sheetPr>
  <dimension ref="A1:S57"/>
  <sheetViews>
    <sheetView showGridLines="0" topLeftCell="D40" zoomScale="70" zoomScaleNormal="70" workbookViewId="0">
      <selection activeCell="N55" sqref="N55"/>
    </sheetView>
  </sheetViews>
  <sheetFormatPr defaultRowHeight="14.5" x14ac:dyDescent="0.35"/>
  <cols>
    <col min="1" max="1" width="44" customWidth="1"/>
    <col min="2" max="2" width="6.6328125" customWidth="1"/>
    <col min="3" max="3" width="22.1796875" customWidth="1"/>
    <col min="4" max="6" width="15" customWidth="1"/>
    <col min="7" max="7" width="18.7265625" customWidth="1"/>
    <col min="8" max="19" width="15" customWidth="1"/>
  </cols>
  <sheetData>
    <row r="1" spans="1:19" ht="20" x14ac:dyDescent="0.35">
      <c r="A1" s="216" t="s">
        <v>668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</row>
    <row r="2" spans="1:19" ht="23.5" x14ac:dyDescent="0.55000000000000004">
      <c r="A2" s="147" t="s">
        <v>669</v>
      </c>
      <c r="B2" s="218" t="s">
        <v>691</v>
      </c>
      <c r="C2" s="218"/>
      <c r="D2" s="218"/>
      <c r="E2" s="218"/>
      <c r="F2" s="218"/>
      <c r="G2" s="218"/>
      <c r="H2" s="218"/>
      <c r="I2" s="218"/>
      <c r="J2" s="218"/>
      <c r="K2" s="147"/>
      <c r="L2" s="147"/>
      <c r="M2" s="147"/>
    </row>
    <row r="3" spans="1:19" ht="15" thickBot="1" x14ac:dyDescent="0.4">
      <c r="A3" s="147" t="s">
        <v>671</v>
      </c>
      <c r="B3" s="219" t="s">
        <v>672</v>
      </c>
      <c r="C3" s="220"/>
      <c r="D3" s="220"/>
      <c r="E3" s="221"/>
      <c r="F3" s="148" t="s">
        <v>673</v>
      </c>
      <c r="G3" s="149" t="s">
        <v>674</v>
      </c>
      <c r="H3" s="148" t="s">
        <v>675</v>
      </c>
      <c r="I3" s="222" t="s">
        <v>674</v>
      </c>
      <c r="J3" s="223"/>
      <c r="K3" s="147" t="s">
        <v>676</v>
      </c>
      <c r="L3" s="150">
        <v>46196</v>
      </c>
      <c r="M3" s="147"/>
      <c r="N3" s="148"/>
      <c r="O3" s="148"/>
      <c r="P3" s="148"/>
      <c r="Q3" s="148"/>
      <c r="R3" s="148"/>
      <c r="S3" s="148"/>
    </row>
    <row r="4" spans="1:19" ht="15" thickBot="1" x14ac:dyDescent="0.4">
      <c r="A4" s="147" t="s">
        <v>677</v>
      </c>
      <c r="B4" s="224" t="s">
        <v>678</v>
      </c>
      <c r="C4" s="225"/>
      <c r="D4" s="225"/>
      <c r="E4" s="226"/>
      <c r="F4" s="148" t="s">
        <v>679</v>
      </c>
      <c r="G4" s="151" t="s">
        <v>680</v>
      </c>
      <c r="H4" s="148" t="s">
        <v>681</v>
      </c>
      <c r="I4" s="227" t="s">
        <v>682</v>
      </c>
      <c r="J4" s="228"/>
      <c r="K4" s="152"/>
      <c r="L4" s="152"/>
      <c r="M4" s="152"/>
      <c r="N4" s="148"/>
      <c r="O4" s="148"/>
      <c r="P4" s="148"/>
      <c r="Q4" s="148"/>
      <c r="R4" s="148"/>
      <c r="S4" s="148"/>
    </row>
    <row r="5" spans="1:19" ht="23" x14ac:dyDescent="0.35">
      <c r="A5" s="1" t="s">
        <v>0</v>
      </c>
      <c r="B5" s="153" t="s">
        <v>1</v>
      </c>
      <c r="C5" s="154" t="s">
        <v>649</v>
      </c>
      <c r="D5" s="154" t="s">
        <v>650</v>
      </c>
      <c r="E5" s="154" t="s">
        <v>651</v>
      </c>
      <c r="F5" s="2" t="s">
        <v>652</v>
      </c>
      <c r="G5" s="154" t="s">
        <v>653</v>
      </c>
      <c r="H5" s="2" t="s">
        <v>654</v>
      </c>
      <c r="I5" s="154" t="s">
        <v>655</v>
      </c>
      <c r="J5" s="154" t="s">
        <v>656</v>
      </c>
      <c r="K5" s="2" t="s">
        <v>657</v>
      </c>
      <c r="L5" s="2" t="s">
        <v>658</v>
      </c>
      <c r="M5" s="2" t="s">
        <v>710</v>
      </c>
      <c r="N5" s="2" t="s">
        <v>711</v>
      </c>
      <c r="O5" s="2" t="s">
        <v>712</v>
      </c>
      <c r="P5" s="2" t="s">
        <v>713</v>
      </c>
      <c r="Q5" s="2" t="s">
        <v>714</v>
      </c>
      <c r="R5" s="2" t="s">
        <v>715</v>
      </c>
      <c r="S5" s="2" t="s">
        <v>716</v>
      </c>
    </row>
    <row r="6" spans="1:19" x14ac:dyDescent="0.35">
      <c r="A6" s="163" t="s">
        <v>2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</row>
    <row r="7" spans="1:19" x14ac:dyDescent="0.35">
      <c r="A7" s="3" t="s">
        <v>3</v>
      </c>
      <c r="B7" s="4" t="s">
        <v>4</v>
      </c>
      <c r="C7" t="s">
        <v>692</v>
      </c>
      <c r="D7" t="s">
        <v>692</v>
      </c>
      <c r="E7" t="s">
        <v>692</v>
      </c>
      <c r="F7" t="s">
        <v>692</v>
      </c>
      <c r="G7" t="s">
        <v>692</v>
      </c>
      <c r="H7" t="s">
        <v>692</v>
      </c>
      <c r="I7" t="s">
        <v>692</v>
      </c>
      <c r="J7" t="s">
        <v>692</v>
      </c>
      <c r="K7" t="s">
        <v>692</v>
      </c>
      <c r="L7" t="s">
        <v>692</v>
      </c>
      <c r="M7" t="s">
        <v>692</v>
      </c>
      <c r="N7" t="s">
        <v>692</v>
      </c>
      <c r="O7" t="s">
        <v>692</v>
      </c>
      <c r="P7" t="s">
        <v>692</v>
      </c>
      <c r="Q7" t="s">
        <v>692</v>
      </c>
      <c r="R7" t="s">
        <v>692</v>
      </c>
      <c r="S7" t="s">
        <v>692</v>
      </c>
    </row>
    <row r="8" spans="1:19" x14ac:dyDescent="0.35">
      <c r="A8" s="3" t="s">
        <v>5</v>
      </c>
      <c r="B8" s="4" t="s">
        <v>4</v>
      </c>
      <c r="C8" t="s">
        <v>693</v>
      </c>
      <c r="D8" t="s">
        <v>694</v>
      </c>
      <c r="E8" t="s">
        <v>695</v>
      </c>
      <c r="F8" t="s">
        <v>696</v>
      </c>
      <c r="G8" t="s">
        <v>697</v>
      </c>
      <c r="H8" t="s">
        <v>698</v>
      </c>
      <c r="I8" t="s">
        <v>699</v>
      </c>
      <c r="J8" t="s">
        <v>700</v>
      </c>
      <c r="K8" t="s">
        <v>701</v>
      </c>
      <c r="L8" t="s">
        <v>702</v>
      </c>
      <c r="M8" t="s">
        <v>703</v>
      </c>
      <c r="N8" t="s">
        <v>704</v>
      </c>
      <c r="O8" t="s">
        <v>705</v>
      </c>
      <c r="P8" t="s">
        <v>706</v>
      </c>
      <c r="Q8" t="s">
        <v>707</v>
      </c>
      <c r="R8" t="s">
        <v>708</v>
      </c>
      <c r="S8" t="s">
        <v>709</v>
      </c>
    </row>
    <row r="9" spans="1:19" x14ac:dyDescent="0.35">
      <c r="A9" s="3" t="s">
        <v>6</v>
      </c>
      <c r="B9" s="4" t="s">
        <v>4</v>
      </c>
      <c r="C9" t="s">
        <v>683</v>
      </c>
      <c r="D9" t="s">
        <v>683</v>
      </c>
      <c r="E9" t="s">
        <v>683</v>
      </c>
      <c r="F9" t="s">
        <v>683</v>
      </c>
      <c r="G9" t="s">
        <v>683</v>
      </c>
      <c r="H9" t="s">
        <v>683</v>
      </c>
      <c r="I9" t="s">
        <v>683</v>
      </c>
      <c r="J9" t="s">
        <v>683</v>
      </c>
      <c r="K9" t="s">
        <v>683</v>
      </c>
      <c r="L9" t="s">
        <v>683</v>
      </c>
      <c r="M9" t="s">
        <v>683</v>
      </c>
      <c r="N9" t="s">
        <v>683</v>
      </c>
      <c r="O9" t="s">
        <v>683</v>
      </c>
      <c r="P9" t="s">
        <v>683</v>
      </c>
      <c r="Q9" t="s">
        <v>683</v>
      </c>
      <c r="R9" t="s">
        <v>683</v>
      </c>
      <c r="S9" t="s">
        <v>683</v>
      </c>
    </row>
    <row r="10" spans="1:19" x14ac:dyDescent="0.35">
      <c r="A10" s="3" t="s">
        <v>7</v>
      </c>
      <c r="B10" s="4" t="s">
        <v>8</v>
      </c>
      <c r="C10">
        <v>2</v>
      </c>
      <c r="D10">
        <v>3</v>
      </c>
      <c r="E10">
        <v>2</v>
      </c>
      <c r="F10">
        <v>1</v>
      </c>
      <c r="G10">
        <v>2</v>
      </c>
      <c r="H10">
        <v>2</v>
      </c>
      <c r="I10">
        <v>4</v>
      </c>
      <c r="J10">
        <v>3</v>
      </c>
      <c r="K10">
        <v>7</v>
      </c>
      <c r="L10">
        <v>6</v>
      </c>
      <c r="M10">
        <v>2</v>
      </c>
      <c r="N10">
        <v>3</v>
      </c>
      <c r="O10">
        <v>8</v>
      </c>
      <c r="P10">
        <v>3</v>
      </c>
      <c r="Q10">
        <v>6</v>
      </c>
      <c r="R10">
        <v>1</v>
      </c>
      <c r="S10">
        <v>1</v>
      </c>
    </row>
    <row r="12" spans="1:19" x14ac:dyDescent="0.35">
      <c r="A12" s="163" t="s">
        <v>9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</row>
    <row r="13" spans="1:19" x14ac:dyDescent="0.35">
      <c r="A13" s="3" t="s">
        <v>10</v>
      </c>
      <c r="B13" s="4" t="s">
        <v>11</v>
      </c>
      <c r="C13" s="155">
        <v>600</v>
      </c>
      <c r="D13" s="155">
        <v>600</v>
      </c>
      <c r="E13" s="155">
        <v>600</v>
      </c>
      <c r="F13" s="155">
        <v>600</v>
      </c>
      <c r="G13" s="155">
        <v>630</v>
      </c>
      <c r="H13" s="155">
        <v>500</v>
      </c>
      <c r="I13" s="155">
        <v>500</v>
      </c>
      <c r="J13" s="155">
        <v>400</v>
      </c>
      <c r="K13" s="155">
        <v>400</v>
      </c>
      <c r="L13" s="155">
        <v>400</v>
      </c>
      <c r="M13" s="155">
        <v>500</v>
      </c>
      <c r="N13" s="155">
        <v>630</v>
      </c>
      <c r="O13" s="155">
        <v>400</v>
      </c>
      <c r="P13" s="155">
        <v>500</v>
      </c>
      <c r="Q13" s="155">
        <v>630</v>
      </c>
      <c r="R13" s="155">
        <v>800</v>
      </c>
      <c r="S13" s="155">
        <v>650</v>
      </c>
    </row>
    <row r="14" spans="1:19" x14ac:dyDescent="0.35">
      <c r="A14" s="3" t="s">
        <v>12</v>
      </c>
      <c r="B14" s="4" t="s">
        <v>11</v>
      </c>
      <c r="C14" s="155">
        <v>1300</v>
      </c>
      <c r="D14" s="155">
        <v>1150</v>
      </c>
      <c r="E14" s="155">
        <v>1150</v>
      </c>
      <c r="F14" s="155">
        <v>1150</v>
      </c>
      <c r="G14" s="155">
        <v>1400</v>
      </c>
      <c r="H14" s="155">
        <v>1700</v>
      </c>
      <c r="I14" s="155">
        <v>1400</v>
      </c>
      <c r="J14" s="155">
        <v>1700</v>
      </c>
      <c r="K14" s="155">
        <v>1400</v>
      </c>
      <c r="L14" s="155">
        <v>1400</v>
      </c>
      <c r="M14" s="155">
        <v>1400</v>
      </c>
      <c r="N14" s="155">
        <v>1200</v>
      </c>
      <c r="O14" s="155">
        <v>1200</v>
      </c>
      <c r="P14" s="155">
        <v>1200</v>
      </c>
      <c r="Q14" s="155">
        <v>1200</v>
      </c>
      <c r="R14" s="155">
        <v>1200</v>
      </c>
      <c r="S14" s="155">
        <v>1200</v>
      </c>
    </row>
    <row r="15" spans="1:19" x14ac:dyDescent="0.35">
      <c r="A15" s="3" t="s">
        <v>659</v>
      </c>
      <c r="B15" s="4" t="s">
        <v>11</v>
      </c>
      <c r="C15" s="155">
        <v>22</v>
      </c>
      <c r="D15" s="155">
        <v>22</v>
      </c>
      <c r="E15" s="155">
        <v>32</v>
      </c>
      <c r="F15" s="155">
        <v>32</v>
      </c>
      <c r="G15" s="155">
        <v>22</v>
      </c>
      <c r="H15" s="155">
        <v>22</v>
      </c>
      <c r="I15" s="155">
        <v>22</v>
      </c>
      <c r="J15" s="155">
        <v>22</v>
      </c>
      <c r="K15" s="155">
        <v>22</v>
      </c>
      <c r="L15" s="155">
        <v>22</v>
      </c>
      <c r="M15" s="155">
        <v>22</v>
      </c>
      <c r="N15" s="155">
        <v>22</v>
      </c>
      <c r="O15" s="155">
        <v>22</v>
      </c>
      <c r="P15" s="155">
        <v>22</v>
      </c>
      <c r="Q15" s="155">
        <v>22</v>
      </c>
      <c r="R15" s="155">
        <v>22</v>
      </c>
      <c r="S15" s="155">
        <v>22</v>
      </c>
    </row>
    <row r="16" spans="1:19" x14ac:dyDescent="0.35">
      <c r="A16" s="3" t="s">
        <v>661</v>
      </c>
      <c r="B16" s="4" t="s">
        <v>11</v>
      </c>
      <c r="C16" s="156">
        <f>C14</f>
        <v>1300</v>
      </c>
      <c r="D16" s="156">
        <f t="shared" ref="D16:L16" si="0">D14</f>
        <v>1150</v>
      </c>
      <c r="E16" s="156">
        <f t="shared" si="0"/>
        <v>1150</v>
      </c>
      <c r="F16" s="156">
        <f t="shared" si="0"/>
        <v>1150</v>
      </c>
      <c r="G16" s="156">
        <f t="shared" si="0"/>
        <v>1400</v>
      </c>
      <c r="H16" s="156">
        <f t="shared" si="0"/>
        <v>1700</v>
      </c>
      <c r="I16" s="156">
        <f t="shared" si="0"/>
        <v>1400</v>
      </c>
      <c r="J16" s="156">
        <f t="shared" si="0"/>
        <v>1700</v>
      </c>
      <c r="K16" s="156">
        <f t="shared" si="0"/>
        <v>1400</v>
      </c>
      <c r="L16" s="156">
        <f t="shared" si="0"/>
        <v>1400</v>
      </c>
      <c r="M16" s="156">
        <f t="shared" ref="M16:S16" si="1">M14</f>
        <v>1400</v>
      </c>
      <c r="N16" s="156">
        <f t="shared" si="1"/>
        <v>1200</v>
      </c>
      <c r="O16" s="156">
        <f t="shared" si="1"/>
        <v>1200</v>
      </c>
      <c r="P16" s="156">
        <f t="shared" si="1"/>
        <v>1200</v>
      </c>
      <c r="Q16" s="156">
        <f t="shared" si="1"/>
        <v>1200</v>
      </c>
      <c r="R16" s="156">
        <f t="shared" si="1"/>
        <v>1200</v>
      </c>
      <c r="S16" s="156">
        <f t="shared" si="1"/>
        <v>1200</v>
      </c>
    </row>
    <row r="17" spans="1:19" x14ac:dyDescent="0.35">
      <c r="A17" s="3" t="s">
        <v>662</v>
      </c>
      <c r="B17" s="4" t="s">
        <v>11</v>
      </c>
      <c r="C17" s="156">
        <f>(C13+8-C15)*3.141593+100</f>
        <v>1940.9734979999998</v>
      </c>
      <c r="D17" s="156">
        <f>(D13+8-D15)*3.141593+100</f>
        <v>1940.9734979999998</v>
      </c>
      <c r="E17" s="156">
        <f t="shared" ref="E17:L17" si="2">(E13+8-E15)*3.141593+100</f>
        <v>1909.5575679999999</v>
      </c>
      <c r="F17" s="156">
        <f t="shared" si="2"/>
        <v>1909.5575679999999</v>
      </c>
      <c r="G17" s="156">
        <f t="shared" si="2"/>
        <v>2035.221288</v>
      </c>
      <c r="H17" s="156">
        <f t="shared" si="2"/>
        <v>1626.814198</v>
      </c>
      <c r="I17" s="156">
        <f t="shared" si="2"/>
        <v>1626.814198</v>
      </c>
      <c r="J17" s="156">
        <f t="shared" si="2"/>
        <v>1312.654898</v>
      </c>
      <c r="K17" s="156">
        <f t="shared" si="2"/>
        <v>1312.654898</v>
      </c>
      <c r="L17" s="156">
        <f t="shared" si="2"/>
        <v>1312.654898</v>
      </c>
      <c r="M17" s="156">
        <f t="shared" ref="M17:S17" si="3">(M13+8-M15)*3.141593+100</f>
        <v>1626.814198</v>
      </c>
      <c r="N17" s="156">
        <f t="shared" si="3"/>
        <v>2035.221288</v>
      </c>
      <c r="O17" s="156">
        <f t="shared" si="3"/>
        <v>1312.654898</v>
      </c>
      <c r="P17" s="156">
        <f t="shared" si="3"/>
        <v>1626.814198</v>
      </c>
      <c r="Q17" s="156">
        <f t="shared" si="3"/>
        <v>2035.221288</v>
      </c>
      <c r="R17" s="156">
        <f t="shared" si="3"/>
        <v>2569.2920979999999</v>
      </c>
      <c r="S17" s="156">
        <f t="shared" si="3"/>
        <v>2098.053148</v>
      </c>
    </row>
    <row r="18" spans="1:19" x14ac:dyDescent="0.35">
      <c r="A18" s="3" t="s">
        <v>660</v>
      </c>
      <c r="B18" s="4" t="s">
        <v>11</v>
      </c>
      <c r="C18" s="155">
        <v>624</v>
      </c>
      <c r="D18" s="155">
        <v>624</v>
      </c>
      <c r="E18" s="155">
        <v>624</v>
      </c>
      <c r="F18" s="155">
        <v>624</v>
      </c>
      <c r="G18" s="155">
        <v>654</v>
      </c>
      <c r="H18" s="155">
        <v>524</v>
      </c>
      <c r="I18" s="155">
        <v>524</v>
      </c>
      <c r="J18" s="155">
        <v>424</v>
      </c>
      <c r="K18" s="155">
        <v>424</v>
      </c>
      <c r="L18" s="155">
        <v>424</v>
      </c>
      <c r="M18" s="155">
        <v>524</v>
      </c>
      <c r="N18" s="155">
        <v>654</v>
      </c>
      <c r="O18" s="155">
        <v>424</v>
      </c>
      <c r="P18" s="155">
        <v>524</v>
      </c>
      <c r="Q18" s="155">
        <v>654</v>
      </c>
      <c r="R18" s="155">
        <v>824</v>
      </c>
      <c r="S18" s="155">
        <v>674</v>
      </c>
    </row>
    <row r="19" spans="1:19" x14ac:dyDescent="0.35">
      <c r="A19" s="3" t="s">
        <v>13</v>
      </c>
      <c r="B19" s="4" t="s">
        <v>11</v>
      </c>
      <c r="C19" s="155">
        <v>1650</v>
      </c>
      <c r="D19" s="155">
        <v>1525</v>
      </c>
      <c r="E19" s="155">
        <v>1525</v>
      </c>
      <c r="F19" s="155">
        <v>1525</v>
      </c>
      <c r="G19" s="155">
        <v>1665</v>
      </c>
      <c r="H19" s="155">
        <v>1955</v>
      </c>
      <c r="I19" s="155">
        <v>1665</v>
      </c>
      <c r="J19" s="155">
        <v>1955</v>
      </c>
      <c r="K19" s="155">
        <v>1665</v>
      </c>
      <c r="L19" s="155">
        <v>1620</v>
      </c>
      <c r="M19" s="155">
        <v>1640</v>
      </c>
      <c r="N19" s="155">
        <v>1465</v>
      </c>
      <c r="O19" s="155">
        <v>1420</v>
      </c>
      <c r="P19" s="155">
        <v>1440</v>
      </c>
      <c r="Q19" s="155">
        <v>1465</v>
      </c>
      <c r="R19" s="155">
        <v>1465</v>
      </c>
      <c r="S19" s="155">
        <v>1465</v>
      </c>
    </row>
    <row r="20" spans="1:19" x14ac:dyDescent="0.35">
      <c r="A20" s="3" t="s">
        <v>14</v>
      </c>
      <c r="B20" s="4" t="s">
        <v>15</v>
      </c>
      <c r="C20" s="155">
        <v>762.81794986348996</v>
      </c>
      <c r="D20" s="155">
        <v>708.48557754121077</v>
      </c>
      <c r="E20" s="155">
        <v>838.09163688986587</v>
      </c>
      <c r="F20" s="155">
        <v>832.02298371933682</v>
      </c>
      <c r="G20" s="155">
        <v>721.12585522230313</v>
      </c>
      <c r="H20" s="155">
        <v>607.87150634799605</v>
      </c>
      <c r="I20" s="155">
        <v>517.70288845144773</v>
      </c>
      <c r="J20" s="155">
        <v>449.43615077477625</v>
      </c>
      <c r="K20" s="155">
        <v>377.76365962623788</v>
      </c>
      <c r="L20" s="155">
        <v>382.89818441148537</v>
      </c>
      <c r="M20" s="155">
        <v>511.69877936481851</v>
      </c>
      <c r="N20" s="155"/>
      <c r="O20" s="155">
        <v>335.11652364579311</v>
      </c>
      <c r="P20" s="155">
        <v>451.58636743378634</v>
      </c>
      <c r="Q20" s="155">
        <v>644.98346677632901</v>
      </c>
      <c r="R20" s="155">
        <v>1201.5828404608844</v>
      </c>
      <c r="S20" s="155">
        <v>833.96638408750141</v>
      </c>
    </row>
    <row r="21" spans="1:19" x14ac:dyDescent="0.35">
      <c r="A21" s="3" t="s">
        <v>648</v>
      </c>
      <c r="B21" s="4" t="s">
        <v>15</v>
      </c>
      <c r="C21" s="156">
        <f>(C15*(C16/1000)*(C17/1000)*7.85)</f>
        <v>435.76796003597997</v>
      </c>
      <c r="D21" s="156">
        <f>(D15*(D16/1000)*(D17/1000)*7.85)</f>
        <v>385.48704157028988</v>
      </c>
      <c r="E21" s="156">
        <f t="shared" ref="E21:S21" si="4">(E15*(E16/1000)*(E17/1000)*7.85)</f>
        <v>551.63299024383991</v>
      </c>
      <c r="F21" s="156">
        <f t="shared" si="4"/>
        <v>551.63299024383991</v>
      </c>
      <c r="G21" s="156">
        <f t="shared" si="4"/>
        <v>492.07580301263988</v>
      </c>
      <c r="H21" s="156">
        <f t="shared" si="4"/>
        <v>477.61638039081993</v>
      </c>
      <c r="I21" s="156">
        <f t="shared" si="4"/>
        <v>393.33113679243996</v>
      </c>
      <c r="J21" s="156">
        <f t="shared" si="4"/>
        <v>385.38235150381996</v>
      </c>
      <c r="K21" s="156">
        <f t="shared" si="4"/>
        <v>317.37370123843993</v>
      </c>
      <c r="L21" s="156">
        <f t="shared" si="4"/>
        <v>317.37370123843993</v>
      </c>
      <c r="M21" s="156">
        <f t="shared" si="4"/>
        <v>393.33113679243996</v>
      </c>
      <c r="N21" s="156">
        <f t="shared" si="4"/>
        <v>421.77925972511991</v>
      </c>
      <c r="O21" s="156">
        <f t="shared" si="4"/>
        <v>272.03460106151994</v>
      </c>
      <c r="P21" s="156">
        <f t="shared" si="4"/>
        <v>337.14097439351997</v>
      </c>
      <c r="Q21" s="156">
        <f t="shared" si="4"/>
        <v>421.77925972511991</v>
      </c>
      <c r="R21" s="156">
        <f t="shared" si="4"/>
        <v>532.4600943895199</v>
      </c>
      <c r="S21" s="156">
        <f t="shared" si="4"/>
        <v>434.80053439151999</v>
      </c>
    </row>
    <row r="22" spans="1:19" x14ac:dyDescent="0.35">
      <c r="A22" s="139" t="s">
        <v>665</v>
      </c>
      <c r="B22" s="4" t="s">
        <v>15</v>
      </c>
      <c r="C22" s="142">
        <v>136</v>
      </c>
      <c r="D22" s="142"/>
      <c r="E22" s="142"/>
      <c r="F22" s="142"/>
      <c r="G22" s="142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</row>
    <row r="23" spans="1:19" ht="14.5" customHeight="1" x14ac:dyDescent="0.35">
      <c r="A23" s="163" t="s">
        <v>16</v>
      </c>
      <c r="B23" s="163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</row>
    <row r="24" spans="1:19" s="162" customFormat="1" ht="25" x14ac:dyDescent="0.35">
      <c r="A24" s="159" t="s">
        <v>17</v>
      </c>
      <c r="B24" s="160" t="s">
        <v>4</v>
      </c>
      <c r="C24" s="161" t="s">
        <v>717</v>
      </c>
      <c r="D24" s="161" t="s">
        <v>717</v>
      </c>
      <c r="E24" s="161" t="s">
        <v>717</v>
      </c>
      <c r="F24" s="161" t="s">
        <v>717</v>
      </c>
      <c r="G24" s="161" t="s">
        <v>718</v>
      </c>
      <c r="H24" s="161" t="s">
        <v>718</v>
      </c>
      <c r="I24" s="161" t="s">
        <v>718</v>
      </c>
      <c r="J24" s="161" t="s">
        <v>718</v>
      </c>
      <c r="K24" s="161" t="s">
        <v>718</v>
      </c>
      <c r="L24" s="161" t="s">
        <v>718</v>
      </c>
      <c r="M24" s="161" t="s">
        <v>718</v>
      </c>
      <c r="N24" s="161" t="s">
        <v>718</v>
      </c>
      <c r="O24" s="161" t="s">
        <v>684</v>
      </c>
      <c r="P24" s="161" t="s">
        <v>718</v>
      </c>
      <c r="Q24" s="161" t="s">
        <v>718</v>
      </c>
      <c r="R24" s="161" t="s">
        <v>717</v>
      </c>
      <c r="S24" s="161" t="s">
        <v>717</v>
      </c>
    </row>
    <row r="25" spans="1:19" x14ac:dyDescent="0.35">
      <c r="A25" s="3" t="s">
        <v>18</v>
      </c>
      <c r="B25" s="4" t="s">
        <v>11</v>
      </c>
      <c r="C25" s="155">
        <v>124</v>
      </c>
      <c r="D25" s="155">
        <v>124</v>
      </c>
      <c r="E25" s="155">
        <v>124</v>
      </c>
      <c r="F25" s="155">
        <v>124</v>
      </c>
      <c r="G25" s="155">
        <v>90</v>
      </c>
      <c r="H25" s="155">
        <v>90</v>
      </c>
      <c r="I25" s="155">
        <v>90</v>
      </c>
      <c r="J25" s="155">
        <v>90</v>
      </c>
      <c r="K25" s="155">
        <v>90</v>
      </c>
      <c r="L25" s="155">
        <v>78</v>
      </c>
      <c r="M25" s="155">
        <v>78</v>
      </c>
      <c r="N25" s="155">
        <v>78</v>
      </c>
      <c r="O25" s="155">
        <v>78</v>
      </c>
      <c r="P25" s="155">
        <v>78</v>
      </c>
      <c r="Q25" s="155">
        <v>90</v>
      </c>
      <c r="R25" s="155">
        <v>127</v>
      </c>
      <c r="S25" s="155">
        <v>124</v>
      </c>
    </row>
    <row r="26" spans="1:19" x14ac:dyDescent="0.35">
      <c r="A26" s="3" t="s">
        <v>19</v>
      </c>
      <c r="B26" s="4" t="s">
        <v>11</v>
      </c>
      <c r="C26" s="155">
        <v>395</v>
      </c>
      <c r="D26" s="155">
        <v>395</v>
      </c>
      <c r="E26" s="155">
        <v>395</v>
      </c>
      <c r="F26" s="155">
        <v>405</v>
      </c>
      <c r="G26" s="155">
        <v>335</v>
      </c>
      <c r="H26" s="155">
        <v>335</v>
      </c>
      <c r="I26" s="155">
        <v>335</v>
      </c>
      <c r="J26" s="155">
        <v>335</v>
      </c>
      <c r="K26" s="155">
        <v>335</v>
      </c>
      <c r="L26" s="155">
        <v>250</v>
      </c>
      <c r="M26" s="155">
        <v>265</v>
      </c>
      <c r="N26" s="155">
        <v>265</v>
      </c>
      <c r="O26" s="155">
        <v>250</v>
      </c>
      <c r="P26" s="155">
        <v>265</v>
      </c>
      <c r="Q26" s="155">
        <v>335</v>
      </c>
      <c r="R26" s="155">
        <v>405</v>
      </c>
      <c r="S26" s="155">
        <v>395</v>
      </c>
    </row>
    <row r="27" spans="1:19" x14ac:dyDescent="0.35">
      <c r="A27" s="3" t="s">
        <v>20</v>
      </c>
      <c r="B27" s="4" t="s">
        <v>11</v>
      </c>
      <c r="C27" s="155">
        <v>240</v>
      </c>
      <c r="D27" s="155">
        <v>240</v>
      </c>
      <c r="E27" s="155">
        <v>240</v>
      </c>
      <c r="F27" s="155">
        <v>250</v>
      </c>
      <c r="G27" s="155">
        <v>200</v>
      </c>
      <c r="H27" s="155">
        <v>200</v>
      </c>
      <c r="I27" s="155">
        <v>200</v>
      </c>
      <c r="J27" s="155">
        <v>200</v>
      </c>
      <c r="K27" s="155">
        <v>200</v>
      </c>
      <c r="L27" s="155">
        <v>150</v>
      </c>
      <c r="M27" s="155">
        <v>170</v>
      </c>
      <c r="N27" s="155">
        <v>170</v>
      </c>
      <c r="O27" s="155">
        <v>150</v>
      </c>
      <c r="P27" s="155">
        <v>170</v>
      </c>
      <c r="Q27" s="155">
        <v>200</v>
      </c>
      <c r="R27" s="155">
        <v>250</v>
      </c>
      <c r="S27" s="155">
        <v>240</v>
      </c>
    </row>
    <row r="28" spans="1:19" x14ac:dyDescent="0.35">
      <c r="A28" s="6" t="s">
        <v>21</v>
      </c>
      <c r="B28" s="4" t="s">
        <v>15</v>
      </c>
      <c r="C28" s="156">
        <f t="shared" ref="C28" si="5">2*PI()/4*((C26/1000)^2-(C27/1000)^2)*(C25/1000)*7850</f>
        <v>150.49311874762438</v>
      </c>
      <c r="D28" s="156">
        <f t="shared" ref="D28:S28" si="6">2*PI()/4*((D26/1000)^2-(D27/1000)^2)*(D25/1000)*7850</f>
        <v>150.49311874762438</v>
      </c>
      <c r="E28" s="156">
        <f t="shared" si="6"/>
        <v>150.49311874762438</v>
      </c>
      <c r="F28" s="156">
        <f t="shared" si="6"/>
        <v>155.23305949558107</v>
      </c>
      <c r="G28" s="156">
        <f t="shared" si="6"/>
        <v>80.152965262500942</v>
      </c>
      <c r="H28" s="156">
        <f t="shared" si="6"/>
        <v>80.152965262500942</v>
      </c>
      <c r="I28" s="156">
        <f t="shared" si="6"/>
        <v>80.152965262500942</v>
      </c>
      <c r="J28" s="156">
        <f t="shared" si="6"/>
        <v>80.152965262500942</v>
      </c>
      <c r="K28" s="156">
        <f t="shared" si="6"/>
        <v>80.152965262500942</v>
      </c>
      <c r="L28" s="156">
        <f t="shared" si="6"/>
        <v>38.471943635860612</v>
      </c>
      <c r="M28" s="156">
        <f t="shared" si="6"/>
        <v>39.746326768798497</v>
      </c>
      <c r="N28" s="156">
        <f t="shared" si="6"/>
        <v>39.746326768798497</v>
      </c>
      <c r="O28" s="156">
        <f t="shared" si="6"/>
        <v>38.471943635860612</v>
      </c>
      <c r="P28" s="156">
        <f t="shared" si="6"/>
        <v>39.746326768798497</v>
      </c>
      <c r="Q28" s="156">
        <f t="shared" si="6"/>
        <v>80.152965262500942</v>
      </c>
      <c r="R28" s="156">
        <f t="shared" si="6"/>
        <v>158.98869803176447</v>
      </c>
      <c r="S28" s="156">
        <f t="shared" si="6"/>
        <v>150.49311874762438</v>
      </c>
    </row>
    <row r="29" spans="1:19" x14ac:dyDescent="0.35">
      <c r="A29" s="140" t="s">
        <v>666</v>
      </c>
      <c r="B29" s="4" t="s">
        <v>15</v>
      </c>
      <c r="C29" s="142"/>
      <c r="D29" s="142"/>
      <c r="E29" s="143"/>
      <c r="F29" s="143"/>
      <c r="G29" s="143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</row>
    <row r="30" spans="1:19" x14ac:dyDescent="0.35">
      <c r="A30" s="163" t="s">
        <v>22</v>
      </c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</row>
    <row r="31" spans="1:19" x14ac:dyDescent="0.35">
      <c r="A31" s="3" t="s">
        <v>23</v>
      </c>
      <c r="B31" s="4" t="s">
        <v>11</v>
      </c>
      <c r="C31" s="155">
        <v>1820</v>
      </c>
      <c r="D31" s="155">
        <v>1699</v>
      </c>
      <c r="E31" s="155">
        <v>1695</v>
      </c>
      <c r="F31" s="155">
        <v>1713</v>
      </c>
      <c r="G31" s="155">
        <v>1803</v>
      </c>
      <c r="H31" s="155">
        <v>2093</v>
      </c>
      <c r="I31" s="155">
        <v>1803</v>
      </c>
      <c r="J31" s="155">
        <v>2093</v>
      </c>
      <c r="K31" s="155">
        <v>1803</v>
      </c>
      <c r="L31" s="155">
        <v>1710</v>
      </c>
      <c r="M31" s="155">
        <v>1748</v>
      </c>
      <c r="N31" s="155">
        <v>1869</v>
      </c>
      <c r="O31" s="155">
        <v>1510</v>
      </c>
      <c r="P31" s="155">
        <v>1548</v>
      </c>
      <c r="Q31" s="155">
        <v>1603</v>
      </c>
      <c r="R31" s="155">
        <v>1653</v>
      </c>
      <c r="S31" s="155">
        <v>1885</v>
      </c>
    </row>
    <row r="32" spans="1:19" x14ac:dyDescent="0.35">
      <c r="A32" s="3" t="s">
        <v>24</v>
      </c>
      <c r="B32" s="4" t="s">
        <v>11</v>
      </c>
      <c r="C32" s="155">
        <v>178</v>
      </c>
      <c r="D32" s="155">
        <v>178</v>
      </c>
      <c r="E32" s="155">
        <v>178</v>
      </c>
      <c r="F32" s="155">
        <v>188</v>
      </c>
      <c r="G32" s="155">
        <v>148</v>
      </c>
      <c r="H32" s="155">
        <v>158</v>
      </c>
      <c r="I32" s="155">
        <v>148</v>
      </c>
      <c r="J32" s="155">
        <v>158</v>
      </c>
      <c r="K32" s="155">
        <v>148</v>
      </c>
      <c r="L32" s="155">
        <v>118</v>
      </c>
      <c r="M32" s="155">
        <v>138</v>
      </c>
      <c r="N32" s="155">
        <v>158</v>
      </c>
      <c r="O32" s="155">
        <v>118</v>
      </c>
      <c r="P32" s="155">
        <v>128</v>
      </c>
      <c r="Q32" s="155">
        <v>148</v>
      </c>
      <c r="R32" s="155">
        <v>188</v>
      </c>
      <c r="S32" s="155">
        <v>178</v>
      </c>
    </row>
    <row r="33" spans="1:19" x14ac:dyDescent="0.35">
      <c r="A33" s="3" t="s">
        <v>25</v>
      </c>
      <c r="B33" s="4" t="s">
        <v>4</v>
      </c>
      <c r="C33" s="164" t="s">
        <v>719</v>
      </c>
      <c r="D33" s="164" t="s">
        <v>719</v>
      </c>
      <c r="E33" s="164" t="s">
        <v>719</v>
      </c>
      <c r="F33" s="164" t="s">
        <v>719</v>
      </c>
      <c r="G33" s="164" t="s">
        <v>719</v>
      </c>
      <c r="H33" t="s">
        <v>719</v>
      </c>
      <c r="I33" t="s">
        <v>719</v>
      </c>
      <c r="J33" t="s">
        <v>719</v>
      </c>
      <c r="K33" t="s">
        <v>719</v>
      </c>
      <c r="L33" t="s">
        <v>719</v>
      </c>
      <c r="M33" t="s">
        <v>719</v>
      </c>
      <c r="N33" t="s">
        <v>719</v>
      </c>
      <c r="O33" t="s">
        <v>719</v>
      </c>
      <c r="P33" t="s">
        <v>719</v>
      </c>
      <c r="Q33" t="s">
        <v>719</v>
      </c>
      <c r="R33" t="s">
        <v>719</v>
      </c>
      <c r="S33" t="s">
        <v>719</v>
      </c>
    </row>
    <row r="34" spans="1:19" x14ac:dyDescent="0.35">
      <c r="A34" s="6" t="s">
        <v>26</v>
      </c>
      <c r="B34" s="7" t="s">
        <v>15</v>
      </c>
      <c r="C34" s="156">
        <f t="shared" ref="C34:S34" si="7">PI()/4*(C32/1000)^2*C31/1000*7850</f>
        <v>355.52564312959379</v>
      </c>
      <c r="D34" s="156">
        <f t="shared" si="7"/>
        <v>331.88904817427465</v>
      </c>
      <c r="E34" s="156">
        <f t="shared" si="7"/>
        <v>331.10767313442938</v>
      </c>
      <c r="F34" s="156">
        <f t="shared" si="7"/>
        <v>373.27817625932903</v>
      </c>
      <c r="G34" s="156">
        <f t="shared" si="7"/>
        <v>243.4886353333338</v>
      </c>
      <c r="H34" s="156">
        <f t="shared" si="7"/>
        <v>322.13872864380312</v>
      </c>
      <c r="I34" s="156">
        <f t="shared" si="7"/>
        <v>243.4886353333338</v>
      </c>
      <c r="J34" s="156">
        <f t="shared" si="7"/>
        <v>322.13872864380312</v>
      </c>
      <c r="K34" s="156">
        <f t="shared" si="7"/>
        <v>243.4886353333338</v>
      </c>
      <c r="L34" s="156">
        <f t="shared" si="7"/>
        <v>146.79783923839523</v>
      </c>
      <c r="M34" s="156">
        <f t="shared" si="7"/>
        <v>205.23864521844934</v>
      </c>
      <c r="N34" s="156">
        <f t="shared" si="7"/>
        <v>287.66234296954991</v>
      </c>
      <c r="O34" s="156">
        <f t="shared" si="7"/>
        <v>129.62850131577594</v>
      </c>
      <c r="P34" s="156">
        <f t="shared" si="7"/>
        <v>156.36891896992745</v>
      </c>
      <c r="Q34" s="156">
        <f t="shared" si="7"/>
        <v>216.47935798077319</v>
      </c>
      <c r="R34" s="156">
        <f t="shared" si="7"/>
        <v>360.20363418369584</v>
      </c>
      <c r="S34" s="156">
        <f t="shared" si="7"/>
        <v>368.22298752707928</v>
      </c>
    </row>
    <row r="35" spans="1:19" x14ac:dyDescent="0.35">
      <c r="A35" s="140" t="s">
        <v>667</v>
      </c>
      <c r="B35" s="7" t="s">
        <v>15</v>
      </c>
      <c r="C35" s="142"/>
      <c r="D35" s="142"/>
      <c r="E35" s="142"/>
      <c r="F35" s="142"/>
      <c r="G35" s="142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</row>
    <row r="36" spans="1:19" x14ac:dyDescent="0.35">
      <c r="A36" s="163" t="s">
        <v>27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</row>
    <row r="37" spans="1:19" x14ac:dyDescent="0.35">
      <c r="A37" s="3" t="s">
        <v>28</v>
      </c>
      <c r="B37" s="4" t="s">
        <v>4</v>
      </c>
      <c r="C37" s="155" t="s">
        <v>720</v>
      </c>
      <c r="D37" s="155" t="s">
        <v>721</v>
      </c>
      <c r="E37" s="155" t="s">
        <v>720</v>
      </c>
      <c r="F37" s="155" t="s">
        <v>466</v>
      </c>
      <c r="G37" s="155" t="s">
        <v>31</v>
      </c>
      <c r="H37" s="155" t="s">
        <v>31</v>
      </c>
      <c r="I37" s="155" t="s">
        <v>31</v>
      </c>
      <c r="J37" s="155" t="s">
        <v>31</v>
      </c>
      <c r="K37" s="155" t="s">
        <v>31</v>
      </c>
      <c r="L37" s="155" t="s">
        <v>212</v>
      </c>
      <c r="M37" s="155" t="s">
        <v>218</v>
      </c>
      <c r="N37" s="155" t="s">
        <v>31</v>
      </c>
      <c r="O37" s="155" t="s">
        <v>212</v>
      </c>
      <c r="P37" s="155" t="s">
        <v>218</v>
      </c>
      <c r="Q37" s="155" t="s">
        <v>31</v>
      </c>
      <c r="R37" s="155" t="s">
        <v>34</v>
      </c>
      <c r="S37" s="155" t="s">
        <v>720</v>
      </c>
    </row>
    <row r="38" spans="1:19" x14ac:dyDescent="0.35">
      <c r="A38" s="3"/>
      <c r="B38" s="4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</row>
    <row r="39" spans="1:19" x14ac:dyDescent="0.35">
      <c r="A39" s="3" t="s">
        <v>38</v>
      </c>
      <c r="B39" s="4" t="s">
        <v>4</v>
      </c>
      <c r="C39" s="155" t="str">
        <f>C37</f>
        <v>22232 CCK/W33</v>
      </c>
      <c r="D39" s="155" t="str">
        <f t="shared" ref="D39:S39" si="8">D37</f>
        <v>22234 CCK/W33</v>
      </c>
      <c r="E39" s="155" t="str">
        <f t="shared" si="8"/>
        <v>22232 CCK/W33</v>
      </c>
      <c r="F39" s="155" t="str">
        <f t="shared" si="8"/>
        <v>22236 CCK/W33</v>
      </c>
      <c r="G39" s="155" t="str">
        <f t="shared" si="8"/>
        <v>22228 CCK/W33</v>
      </c>
      <c r="H39" s="155" t="str">
        <f t="shared" si="8"/>
        <v>22228 CCK/W33</v>
      </c>
      <c r="I39" s="155" t="str">
        <f t="shared" si="8"/>
        <v>22228 CCK/W33</v>
      </c>
      <c r="J39" s="155" t="str">
        <f t="shared" si="8"/>
        <v>22228 CCK/W33</v>
      </c>
      <c r="K39" s="155" t="str">
        <f t="shared" si="8"/>
        <v>22228 CCK/W33</v>
      </c>
      <c r="L39" s="155" t="str">
        <f t="shared" si="8"/>
        <v>22218 EK</v>
      </c>
      <c r="M39" s="155" t="str">
        <f t="shared" si="8"/>
        <v>22222 EK</v>
      </c>
      <c r="N39" s="155" t="str">
        <f t="shared" si="8"/>
        <v>22228 CCK/W33</v>
      </c>
      <c r="O39" s="155" t="str">
        <f t="shared" si="8"/>
        <v>22218 EK</v>
      </c>
      <c r="P39" s="155" t="str">
        <f t="shared" si="8"/>
        <v>22222 EK</v>
      </c>
      <c r="Q39" s="155" t="str">
        <f t="shared" si="8"/>
        <v>22228 CCK/W33</v>
      </c>
      <c r="R39" s="155" t="str">
        <f t="shared" si="8"/>
        <v>23136 CCK/W33</v>
      </c>
      <c r="S39" s="155" t="str">
        <f t="shared" si="8"/>
        <v>22232 CCK/W33</v>
      </c>
    </row>
    <row r="40" spans="1:19" x14ac:dyDescent="0.35">
      <c r="A40" s="3"/>
      <c r="B40" s="4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</row>
    <row r="41" spans="1:19" x14ac:dyDescent="0.35">
      <c r="A41" s="3" t="s">
        <v>40</v>
      </c>
      <c r="B41" s="4" t="s">
        <v>4</v>
      </c>
      <c r="C41" s="155" t="s">
        <v>45</v>
      </c>
      <c r="D41" s="155" t="s">
        <v>534</v>
      </c>
      <c r="E41" s="155" t="s">
        <v>45</v>
      </c>
      <c r="F41" s="155" t="s">
        <v>46</v>
      </c>
      <c r="G41" s="155" t="s">
        <v>43</v>
      </c>
      <c r="H41" s="155" t="s">
        <v>43</v>
      </c>
      <c r="I41" s="155" t="s">
        <v>43</v>
      </c>
      <c r="J41" s="155" t="s">
        <v>43</v>
      </c>
      <c r="K41" s="155" t="s">
        <v>43</v>
      </c>
      <c r="L41" s="155" t="s">
        <v>250</v>
      </c>
      <c r="M41" s="155" t="s">
        <v>253</v>
      </c>
      <c r="N41" s="155" t="s">
        <v>43</v>
      </c>
      <c r="O41" s="155" t="s">
        <v>250</v>
      </c>
      <c r="P41" s="155" t="s">
        <v>253</v>
      </c>
      <c r="Q41" s="155" t="s">
        <v>43</v>
      </c>
      <c r="R41" s="155" t="s">
        <v>46</v>
      </c>
      <c r="S41" s="155" t="s">
        <v>45</v>
      </c>
    </row>
    <row r="42" spans="1:19" x14ac:dyDescent="0.35">
      <c r="A42" s="3"/>
      <c r="B42" s="4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</row>
    <row r="43" spans="1:19" x14ac:dyDescent="0.35">
      <c r="A43" s="3" t="s">
        <v>49</v>
      </c>
      <c r="B43" s="4" t="s">
        <v>4</v>
      </c>
      <c r="C43" s="155" t="s">
        <v>54</v>
      </c>
      <c r="D43" s="155" t="s">
        <v>723</v>
      </c>
      <c r="E43" s="155" t="s">
        <v>54</v>
      </c>
      <c r="F43" s="155" t="s">
        <v>577</v>
      </c>
      <c r="G43" s="155" t="s">
        <v>52</v>
      </c>
      <c r="H43" s="155" t="s">
        <v>52</v>
      </c>
      <c r="I43" s="155" t="s">
        <v>52</v>
      </c>
      <c r="J43" s="155" t="s">
        <v>52</v>
      </c>
      <c r="K43" s="155" t="s">
        <v>52</v>
      </c>
      <c r="L43" s="155" t="s">
        <v>570</v>
      </c>
      <c r="M43" s="155" t="s">
        <v>573</v>
      </c>
      <c r="N43" s="155" t="s">
        <v>52</v>
      </c>
      <c r="O43" s="155" t="s">
        <v>570</v>
      </c>
      <c r="P43" s="155" t="s">
        <v>573</v>
      </c>
      <c r="Q43" s="155" t="s">
        <v>52</v>
      </c>
      <c r="R43" s="155" t="s">
        <v>55</v>
      </c>
      <c r="S43" s="155" t="s">
        <v>722</v>
      </c>
    </row>
    <row r="44" spans="1:19" x14ac:dyDescent="0.35">
      <c r="A44" s="3"/>
      <c r="B44" s="4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</row>
    <row r="45" spans="1:19" x14ac:dyDescent="0.35">
      <c r="A45" s="6" t="s">
        <v>664</v>
      </c>
      <c r="B45" s="7" t="s">
        <v>37</v>
      </c>
      <c r="C45" s="156">
        <f t="shared" ref="C45:L45" si="9">2*(C38+C40+C42+C44)</f>
        <v>0</v>
      </c>
      <c r="D45" s="156">
        <f t="shared" si="9"/>
        <v>0</v>
      </c>
      <c r="E45" s="156">
        <f t="shared" si="9"/>
        <v>0</v>
      </c>
      <c r="F45" s="156">
        <f t="shared" si="9"/>
        <v>0</v>
      </c>
      <c r="G45" s="156">
        <f t="shared" si="9"/>
        <v>0</v>
      </c>
      <c r="H45" s="156">
        <f t="shared" si="9"/>
        <v>0</v>
      </c>
      <c r="I45" s="156">
        <f t="shared" si="9"/>
        <v>0</v>
      </c>
      <c r="J45" s="156">
        <f t="shared" si="9"/>
        <v>0</v>
      </c>
      <c r="K45" s="156">
        <f t="shared" si="9"/>
        <v>0</v>
      </c>
      <c r="L45" s="156">
        <f t="shared" si="9"/>
        <v>0</v>
      </c>
      <c r="M45" s="156"/>
      <c r="N45" s="156"/>
      <c r="O45" s="156"/>
      <c r="P45" s="156"/>
      <c r="Q45" s="156"/>
      <c r="R45" s="156"/>
      <c r="S45" s="156"/>
    </row>
    <row r="47" spans="1:19" x14ac:dyDescent="0.35">
      <c r="A47" s="163" t="s">
        <v>58</v>
      </c>
      <c r="B47" s="163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</row>
    <row r="48" spans="1:19" ht="25" x14ac:dyDescent="0.35">
      <c r="A48" s="3" t="s">
        <v>59</v>
      </c>
      <c r="B48" s="4" t="s">
        <v>4</v>
      </c>
      <c r="C48" s="155" t="s">
        <v>616</v>
      </c>
      <c r="D48" s="155" t="s">
        <v>616</v>
      </c>
      <c r="E48" s="155" t="s">
        <v>616</v>
      </c>
      <c r="F48" s="155" t="s">
        <v>616</v>
      </c>
      <c r="G48" s="155" t="s">
        <v>616</v>
      </c>
      <c r="H48" s="155" t="s">
        <v>616</v>
      </c>
      <c r="I48" s="155" t="s">
        <v>616</v>
      </c>
      <c r="J48" s="155" t="s">
        <v>616</v>
      </c>
      <c r="K48" s="155" t="s">
        <v>616</v>
      </c>
      <c r="L48" s="155" t="s">
        <v>616</v>
      </c>
      <c r="M48" s="155" t="s">
        <v>616</v>
      </c>
      <c r="N48" s="155" t="s">
        <v>616</v>
      </c>
      <c r="O48" s="155" t="s">
        <v>616</v>
      </c>
      <c r="P48" s="155" t="s">
        <v>616</v>
      </c>
      <c r="Q48" s="155" t="s">
        <v>616</v>
      </c>
      <c r="R48" s="155" t="s">
        <v>616</v>
      </c>
      <c r="S48" s="155" t="s">
        <v>616</v>
      </c>
    </row>
    <row r="49" spans="1:19" x14ac:dyDescent="0.35">
      <c r="A49" s="3" t="s">
        <v>66</v>
      </c>
      <c r="B49" s="4" t="s">
        <v>11</v>
      </c>
      <c r="C49" s="155">
        <v>12</v>
      </c>
      <c r="D49" s="155">
        <v>12</v>
      </c>
      <c r="E49" s="155">
        <v>12</v>
      </c>
      <c r="F49" s="155">
        <v>12</v>
      </c>
      <c r="G49" s="155">
        <v>12</v>
      </c>
      <c r="H49" s="155">
        <v>12</v>
      </c>
      <c r="I49" s="155">
        <v>12</v>
      </c>
      <c r="J49" s="155">
        <v>12</v>
      </c>
      <c r="K49" s="155">
        <v>12</v>
      </c>
      <c r="L49" s="155">
        <v>12</v>
      </c>
      <c r="M49" s="155">
        <v>12</v>
      </c>
      <c r="N49" s="155">
        <v>12</v>
      </c>
      <c r="O49" s="155">
        <v>12</v>
      </c>
      <c r="P49" s="155">
        <v>12</v>
      </c>
      <c r="Q49" s="155">
        <v>12</v>
      </c>
      <c r="R49" s="155">
        <v>12</v>
      </c>
      <c r="S49" s="155">
        <v>12</v>
      </c>
    </row>
    <row r="50" spans="1:19" x14ac:dyDescent="0.35">
      <c r="A50" s="6" t="s">
        <v>67</v>
      </c>
      <c r="B50" s="7" t="s">
        <v>68</v>
      </c>
      <c r="C50" s="155">
        <f t="shared" ref="C50:S50" si="10">PI()*C13/1000*C14/1000</f>
        <v>2.4504422698000385</v>
      </c>
      <c r="D50" s="155">
        <f t="shared" si="10"/>
        <v>2.1676989309769574</v>
      </c>
      <c r="E50" s="155">
        <f t="shared" si="10"/>
        <v>2.1676989309769574</v>
      </c>
      <c r="F50" s="155">
        <f t="shared" si="10"/>
        <v>2.1676989309769574</v>
      </c>
      <c r="G50" s="155">
        <f t="shared" si="10"/>
        <v>2.7708847204661979</v>
      </c>
      <c r="H50" s="155">
        <f t="shared" si="10"/>
        <v>2.6703537555513241</v>
      </c>
      <c r="I50" s="155">
        <f t="shared" si="10"/>
        <v>2.1991148575128552</v>
      </c>
      <c r="J50" s="155">
        <f t="shared" si="10"/>
        <v>2.1362830044410592</v>
      </c>
      <c r="K50" s="155">
        <f t="shared" si="10"/>
        <v>1.7592918860102842</v>
      </c>
      <c r="L50" s="155">
        <f t="shared" si="10"/>
        <v>1.7592918860102842</v>
      </c>
      <c r="M50" s="155">
        <f t="shared" si="10"/>
        <v>2.1991148575128552</v>
      </c>
      <c r="N50" s="155">
        <f t="shared" si="10"/>
        <v>2.3750440461138838</v>
      </c>
      <c r="O50" s="155">
        <f t="shared" si="10"/>
        <v>1.5079644737231006</v>
      </c>
      <c r="P50" s="155">
        <f t="shared" si="10"/>
        <v>1.8849555921538759</v>
      </c>
      <c r="Q50" s="155">
        <f t="shared" si="10"/>
        <v>2.3750440461138838</v>
      </c>
      <c r="R50" s="155">
        <f t="shared" si="10"/>
        <v>3.0159289474462012</v>
      </c>
      <c r="S50" s="155">
        <f t="shared" si="10"/>
        <v>2.4504422698000385</v>
      </c>
    </row>
    <row r="51" spans="1:19" x14ac:dyDescent="0.35">
      <c r="A51" s="3"/>
      <c r="B51" s="4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</row>
    <row r="52" spans="1:19" x14ac:dyDescent="0.35">
      <c r="A52" s="6" t="s">
        <v>71</v>
      </c>
      <c r="B52" s="7" t="s">
        <v>37</v>
      </c>
      <c r="C52" s="156">
        <f t="shared" ref="C52:S52" si="11">C50*C51</f>
        <v>0</v>
      </c>
      <c r="D52" s="156">
        <f t="shared" si="11"/>
        <v>0</v>
      </c>
      <c r="E52" s="156">
        <f t="shared" si="11"/>
        <v>0</v>
      </c>
      <c r="F52" s="156">
        <f t="shared" si="11"/>
        <v>0</v>
      </c>
      <c r="G52" s="156">
        <f t="shared" si="11"/>
        <v>0</v>
      </c>
      <c r="H52" s="156">
        <f t="shared" si="11"/>
        <v>0</v>
      </c>
      <c r="I52" s="156">
        <f t="shared" si="11"/>
        <v>0</v>
      </c>
      <c r="J52" s="156">
        <f t="shared" si="11"/>
        <v>0</v>
      </c>
      <c r="K52" s="156">
        <f t="shared" si="11"/>
        <v>0</v>
      </c>
      <c r="L52" s="156">
        <f t="shared" si="11"/>
        <v>0</v>
      </c>
      <c r="M52" s="156">
        <f t="shared" si="11"/>
        <v>0</v>
      </c>
      <c r="N52" s="156">
        <f t="shared" si="11"/>
        <v>0</v>
      </c>
      <c r="O52" s="156">
        <f t="shared" si="11"/>
        <v>0</v>
      </c>
      <c r="P52" s="156">
        <f t="shared" si="11"/>
        <v>0</v>
      </c>
      <c r="Q52" s="156">
        <f t="shared" si="11"/>
        <v>0</v>
      </c>
      <c r="R52" s="156">
        <f t="shared" si="11"/>
        <v>0</v>
      </c>
      <c r="S52" s="156">
        <f t="shared" si="11"/>
        <v>0</v>
      </c>
    </row>
    <row r="54" spans="1:19" ht="14.5" customHeight="1" x14ac:dyDescent="0.35">
      <c r="A54" s="163" t="s">
        <v>72</v>
      </c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</row>
    <row r="55" spans="1:19" ht="25" x14ac:dyDescent="0.35">
      <c r="A55" s="3" t="s">
        <v>73</v>
      </c>
      <c r="B55" s="4" t="s">
        <v>4</v>
      </c>
      <c r="C55" s="155" t="s">
        <v>797</v>
      </c>
      <c r="D55" s="155" t="s">
        <v>797</v>
      </c>
      <c r="E55" s="155" t="s">
        <v>797</v>
      </c>
      <c r="F55" s="155" t="s">
        <v>799</v>
      </c>
      <c r="G55" s="155" t="s">
        <v>795</v>
      </c>
      <c r="H55" s="155" t="s">
        <v>795</v>
      </c>
      <c r="I55" s="155" t="s">
        <v>795</v>
      </c>
      <c r="J55" s="155" t="s">
        <v>795</v>
      </c>
      <c r="K55" s="155" t="s">
        <v>795</v>
      </c>
      <c r="L55" s="155" t="s">
        <v>790</v>
      </c>
      <c r="M55" s="155" t="s">
        <v>793</v>
      </c>
      <c r="N55" s="155" t="s">
        <v>802</v>
      </c>
      <c r="O55" s="155" t="s">
        <v>790</v>
      </c>
      <c r="P55" s="155" t="s">
        <v>793</v>
      </c>
      <c r="Q55" s="155" t="s">
        <v>795</v>
      </c>
      <c r="R55" s="155" t="s">
        <v>799</v>
      </c>
      <c r="S55" s="155" t="s">
        <v>797</v>
      </c>
    </row>
    <row r="56" spans="1:19" x14ac:dyDescent="0.35">
      <c r="A56" s="3" t="s">
        <v>74</v>
      </c>
      <c r="B56" s="4" t="s">
        <v>37</v>
      </c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</row>
    <row r="57" spans="1:19" x14ac:dyDescent="0.35">
      <c r="A57" s="3" t="s">
        <v>75</v>
      </c>
      <c r="B57" s="4" t="s">
        <v>37</v>
      </c>
      <c r="C57" s="155">
        <v>0</v>
      </c>
      <c r="D57" s="155">
        <v>0</v>
      </c>
      <c r="E57" s="155">
        <v>0</v>
      </c>
      <c r="F57" s="155">
        <v>0</v>
      </c>
      <c r="G57" s="155">
        <v>0</v>
      </c>
      <c r="H57" s="155">
        <v>0</v>
      </c>
      <c r="I57" s="155">
        <v>0</v>
      </c>
      <c r="J57" s="155">
        <v>0</v>
      </c>
      <c r="K57" s="155"/>
      <c r="L57" s="155"/>
      <c r="M57" s="155"/>
      <c r="N57" s="155"/>
      <c r="O57" s="155"/>
      <c r="P57" s="155"/>
      <c r="Q57" s="155"/>
      <c r="R57" s="155"/>
      <c r="S57" s="155"/>
    </row>
  </sheetData>
  <mergeCells count="6">
    <mergeCell ref="A1:L1"/>
    <mergeCell ref="B2:J2"/>
    <mergeCell ref="B3:E3"/>
    <mergeCell ref="I3:J3"/>
    <mergeCell ref="B4:E4"/>
    <mergeCell ref="I4:J4"/>
  </mergeCells>
  <phoneticPr fontId="6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1:F56"/>
  <sheetViews>
    <sheetView showGridLines="0" zoomScaleNormal="100" workbookViewId="0">
      <selection activeCell="E8" sqref="E8"/>
    </sheetView>
  </sheetViews>
  <sheetFormatPr defaultColWidth="8.6328125" defaultRowHeight="14.5" x14ac:dyDescent="0.35"/>
  <cols>
    <col min="1" max="1" width="3" customWidth="1"/>
    <col min="2" max="2" width="31" customWidth="1"/>
    <col min="3" max="3" width="10.54296875" customWidth="1"/>
    <col min="4" max="4" width="7.81640625" customWidth="1"/>
    <col min="5" max="5" width="23" customWidth="1"/>
    <col min="6" max="6" width="22" customWidth="1"/>
  </cols>
  <sheetData>
    <row r="1" spans="2:6" ht="24" customHeight="1" x14ac:dyDescent="0.35">
      <c r="B1" s="230" t="s">
        <v>144</v>
      </c>
      <c r="C1" s="230"/>
      <c r="D1" s="230"/>
      <c r="E1" s="230"/>
      <c r="F1" s="230"/>
    </row>
    <row r="3" spans="2:6" ht="18" customHeight="1" x14ac:dyDescent="0.35">
      <c r="B3" s="229" t="s">
        <v>145</v>
      </c>
      <c r="C3" s="229"/>
      <c r="D3" s="229"/>
      <c r="E3" s="229"/>
      <c r="F3" s="229"/>
    </row>
    <row r="4" spans="2:6" ht="15" customHeight="1" x14ac:dyDescent="0.35">
      <c r="B4" s="19" t="s">
        <v>146</v>
      </c>
      <c r="C4" s="19" t="s">
        <v>147</v>
      </c>
      <c r="D4" s="19" t="s">
        <v>1</v>
      </c>
      <c r="E4" s="19" t="s">
        <v>148</v>
      </c>
    </row>
    <row r="5" spans="2:6" ht="15" customHeight="1" x14ac:dyDescent="0.35">
      <c r="B5" s="15" t="s">
        <v>149</v>
      </c>
      <c r="C5" s="23">
        <v>110</v>
      </c>
      <c r="D5" s="24" t="s">
        <v>150</v>
      </c>
      <c r="E5" s="25" t="s">
        <v>151</v>
      </c>
    </row>
    <row r="6" spans="2:6" ht="15" customHeight="1" x14ac:dyDescent="0.35">
      <c r="B6" s="15" t="s">
        <v>152</v>
      </c>
      <c r="C6" s="26">
        <v>0.18</v>
      </c>
      <c r="D6" s="24" t="s">
        <v>124</v>
      </c>
      <c r="E6" s="25" t="s">
        <v>153</v>
      </c>
    </row>
    <row r="7" spans="2:6" ht="15" customHeight="1" x14ac:dyDescent="0.35">
      <c r="B7" s="15" t="s">
        <v>154</v>
      </c>
      <c r="C7" s="26">
        <v>0.1</v>
      </c>
      <c r="D7" s="24" t="s">
        <v>124</v>
      </c>
      <c r="E7" s="25" t="s">
        <v>155</v>
      </c>
    </row>
    <row r="8" spans="2:6" ht="15" customHeight="1" x14ac:dyDescent="0.35">
      <c r="B8" s="15" t="s">
        <v>156</v>
      </c>
      <c r="C8" s="23">
        <v>1.8</v>
      </c>
      <c r="D8" s="24" t="s">
        <v>157</v>
      </c>
      <c r="E8" s="25" t="s">
        <v>158</v>
      </c>
    </row>
    <row r="9" spans="2:6" ht="15" customHeight="1" x14ac:dyDescent="0.35">
      <c r="B9" s="15" t="s">
        <v>159</v>
      </c>
      <c r="C9" s="23">
        <v>1.2</v>
      </c>
      <c r="D9" s="24" t="s">
        <v>157</v>
      </c>
      <c r="E9" s="25" t="s">
        <v>160</v>
      </c>
    </row>
    <row r="11" spans="2:6" ht="18" customHeight="1" x14ac:dyDescent="0.35">
      <c r="B11" s="229" t="s">
        <v>161</v>
      </c>
      <c r="C11" s="229"/>
      <c r="D11" s="229"/>
      <c r="E11" s="229"/>
      <c r="F11" s="229"/>
    </row>
    <row r="12" spans="2:6" ht="15" customHeight="1" x14ac:dyDescent="0.35">
      <c r="B12" s="19" t="s">
        <v>162</v>
      </c>
      <c r="C12" s="19" t="s">
        <v>163</v>
      </c>
      <c r="D12" s="19" t="s">
        <v>164</v>
      </c>
      <c r="E12" s="19" t="s">
        <v>148</v>
      </c>
    </row>
    <row r="13" spans="2:6" ht="15" customHeight="1" x14ac:dyDescent="0.35">
      <c r="B13" s="15" t="s">
        <v>165</v>
      </c>
      <c r="C13" s="21">
        <f>73030/544</f>
        <v>134.24632352941177</v>
      </c>
      <c r="D13" s="22">
        <f>C13/'Cost Rate Tables'!C5</f>
        <v>1.2204211229946524</v>
      </c>
      <c r="E13" s="24"/>
    </row>
    <row r="14" spans="2:6" ht="15" customHeight="1" x14ac:dyDescent="0.35">
      <c r="B14" s="15" t="s">
        <v>166</v>
      </c>
      <c r="C14" s="21">
        <f>62480/763</f>
        <v>81.88728702490171</v>
      </c>
      <c r="D14" s="22">
        <f>C14/'Cost Rate Tables'!C5</f>
        <v>0.74442988204456095</v>
      </c>
      <c r="E14" s="24"/>
    </row>
    <row r="15" spans="2:6" ht="15" customHeight="1" x14ac:dyDescent="0.35">
      <c r="B15" s="15" t="s">
        <v>167</v>
      </c>
      <c r="C15" s="21">
        <v>91</v>
      </c>
      <c r="D15" s="22">
        <f>C15/'Cost Rate Tables'!C5</f>
        <v>0.82727272727272727</v>
      </c>
      <c r="E15" s="24"/>
    </row>
    <row r="16" spans="2:6" ht="15" customHeight="1" x14ac:dyDescent="0.35">
      <c r="B16" s="15" t="s">
        <v>168</v>
      </c>
      <c r="C16" s="21">
        <f>310000/1325</f>
        <v>233.96226415094338</v>
      </c>
      <c r="D16" s="22">
        <f>C16/'Cost Rate Tables'!C5</f>
        <v>2.1269296740994852</v>
      </c>
      <c r="E16" s="24" t="s">
        <v>169</v>
      </c>
    </row>
    <row r="17" spans="2:6" ht="15" customHeight="1" x14ac:dyDescent="0.35">
      <c r="B17" s="15" t="s">
        <v>170</v>
      </c>
      <c r="C17" s="21">
        <v>6</v>
      </c>
      <c r="D17" s="22">
        <f>C17/'Cost Rate Tables'!C5</f>
        <v>5.4545454545454543E-2</v>
      </c>
      <c r="E17" s="24"/>
    </row>
    <row r="18" spans="2:6" ht="15" customHeight="1" x14ac:dyDescent="0.35">
      <c r="B18" s="15" t="s">
        <v>647</v>
      </c>
      <c r="C18" s="21">
        <v>18</v>
      </c>
      <c r="D18" s="22">
        <f>C18/'Cost Rate Tables'!C5</f>
        <v>0.16363636363636364</v>
      </c>
      <c r="E18" s="24"/>
    </row>
    <row r="19" spans="2:6" ht="15" customHeight="1" x14ac:dyDescent="0.35">
      <c r="B19" s="31"/>
      <c r="C19" s="32"/>
      <c r="D19" s="33"/>
      <c r="E19" s="97"/>
    </row>
    <row r="21" spans="2:6" ht="18" customHeight="1" x14ac:dyDescent="0.35">
      <c r="B21" s="229" t="s">
        <v>171</v>
      </c>
      <c r="C21" s="229"/>
      <c r="D21" s="229"/>
      <c r="E21" s="229"/>
      <c r="F21" s="229"/>
    </row>
    <row r="22" spans="2:6" ht="15" customHeight="1" x14ac:dyDescent="0.35">
      <c r="B22" s="19" t="s">
        <v>172</v>
      </c>
      <c r="C22" s="19" t="s">
        <v>173</v>
      </c>
      <c r="D22" s="19" t="s">
        <v>174</v>
      </c>
      <c r="E22" s="19" t="s">
        <v>175</v>
      </c>
    </row>
    <row r="23" spans="2:6" ht="15" customHeight="1" x14ac:dyDescent="0.35">
      <c r="B23" s="15" t="s">
        <v>176</v>
      </c>
      <c r="C23" s="27">
        <f>'MHR &amp; LHR Calculator'!D55</f>
        <v>711.26666666666665</v>
      </c>
      <c r="D23" s="22">
        <f>C23/'Cost Rate Tables'!C5</f>
        <v>6.4660606060606058</v>
      </c>
      <c r="E23" s="28" t="s">
        <v>177</v>
      </c>
    </row>
    <row r="24" spans="2:6" ht="15" customHeight="1" x14ac:dyDescent="0.35">
      <c r="B24" s="15" t="s">
        <v>178</v>
      </c>
      <c r="C24" s="27">
        <f>'MHR &amp; LHR Calculator'!E55</f>
        <v>893.34523809523807</v>
      </c>
      <c r="D24" s="22">
        <f>C24/'Cost Rate Tables'!C5</f>
        <v>8.1213203463203456</v>
      </c>
      <c r="E24" s="28" t="s">
        <v>177</v>
      </c>
    </row>
    <row r="25" spans="2:6" ht="15" customHeight="1" x14ac:dyDescent="0.35">
      <c r="B25" s="15" t="s">
        <v>179</v>
      </c>
      <c r="C25" s="27">
        <f>'MHR &amp; LHR Calculator'!F55</f>
        <v>497.86458333333337</v>
      </c>
      <c r="D25" s="22">
        <f>C25/'Cost Rate Tables'!C5</f>
        <v>4.526041666666667</v>
      </c>
      <c r="E25" s="28" t="s">
        <v>177</v>
      </c>
    </row>
    <row r="26" spans="2:6" ht="15" customHeight="1" x14ac:dyDescent="0.35">
      <c r="B26" s="15" t="s">
        <v>180</v>
      </c>
      <c r="C26" s="27">
        <f>'MHR &amp; LHR Calculator'!G55</f>
        <v>491.3154761904762</v>
      </c>
      <c r="D26" s="22">
        <f>C26/'Cost Rate Tables'!C5</f>
        <v>4.4665043290043291</v>
      </c>
      <c r="E26" s="28" t="s">
        <v>177</v>
      </c>
    </row>
    <row r="27" spans="2:6" ht="15" customHeight="1" x14ac:dyDescent="0.35">
      <c r="B27" s="15" t="s">
        <v>181</v>
      </c>
      <c r="C27" s="27">
        <f>'MHR &amp; LHR Calculator'!H55</f>
        <v>911.82539682539687</v>
      </c>
      <c r="D27" s="22">
        <f>C27/'Cost Rate Tables'!C5</f>
        <v>8.2893217893217894</v>
      </c>
      <c r="E27" s="28" t="s">
        <v>177</v>
      </c>
    </row>
    <row r="28" spans="2:6" ht="15" customHeight="1" x14ac:dyDescent="0.35">
      <c r="B28" s="15" t="s">
        <v>182</v>
      </c>
      <c r="C28" s="27">
        <f>'MHR &amp; LHR Calculator'!J55</f>
        <v>338.11764705882354</v>
      </c>
      <c r="D28" s="22">
        <f>C28/'Cost Rate Tables'!C5</f>
        <v>3.0737967914438502</v>
      </c>
      <c r="E28" s="28" t="s">
        <v>177</v>
      </c>
    </row>
    <row r="29" spans="2:6" ht="15" customHeight="1" x14ac:dyDescent="0.35">
      <c r="B29" s="15" t="s">
        <v>183</v>
      </c>
      <c r="C29" s="21">
        <v>8.5</v>
      </c>
      <c r="D29" s="22">
        <f>C29/'Cost Rate Tables'!C5</f>
        <v>7.7272727272727271E-2</v>
      </c>
      <c r="E29" s="29" t="s">
        <v>81</v>
      </c>
    </row>
    <row r="30" spans="2:6" ht="15" customHeight="1" x14ac:dyDescent="0.35">
      <c r="B30" s="15" t="s">
        <v>184</v>
      </c>
      <c r="C30" s="21">
        <v>7.2</v>
      </c>
      <c r="D30" s="22">
        <f>C30/'Cost Rate Tables'!C5</f>
        <v>6.545454545454546E-2</v>
      </c>
      <c r="E30" s="29" t="s">
        <v>81</v>
      </c>
      <c r="F30" t="s">
        <v>185</v>
      </c>
    </row>
    <row r="31" spans="2:6" ht="15" customHeight="1" x14ac:dyDescent="0.35">
      <c r="B31" s="15" t="s">
        <v>186</v>
      </c>
      <c r="C31" s="21">
        <v>1440</v>
      </c>
      <c r="D31" s="22">
        <f>C31/'Cost Rate Tables'!C5</f>
        <v>13.090909090909092</v>
      </c>
      <c r="E31" s="30" t="s">
        <v>78</v>
      </c>
    </row>
    <row r="32" spans="2:6" ht="15" customHeight="1" x14ac:dyDescent="0.35">
      <c r="B32" s="15" t="s">
        <v>187</v>
      </c>
      <c r="C32" s="27">
        <f>'MHR &amp; LHR Calculator'!I55</f>
        <v>924.99890109890111</v>
      </c>
      <c r="D32" s="22">
        <f>C32/'Cost Rate Tables'!C5</f>
        <v>8.4090809190809193</v>
      </c>
      <c r="E32" s="28" t="s">
        <v>177</v>
      </c>
    </row>
    <row r="33" spans="2:6" ht="15" customHeight="1" x14ac:dyDescent="0.35">
      <c r="B33" s="15" t="s">
        <v>188</v>
      </c>
      <c r="C33" s="21">
        <f>125000/1434</f>
        <v>87.168758716875871</v>
      </c>
      <c r="D33" s="22">
        <f>C33/'Cost Rate Tables'!C5</f>
        <v>0.79244326106250795</v>
      </c>
      <c r="E33" s="29" t="s">
        <v>81</v>
      </c>
      <c r="F33" t="s">
        <v>185</v>
      </c>
    </row>
    <row r="34" spans="2:6" ht="15" customHeight="1" x14ac:dyDescent="0.35">
      <c r="B34" s="31"/>
      <c r="C34" s="32"/>
      <c r="D34" s="33"/>
      <c r="E34" s="34"/>
    </row>
    <row r="36" spans="2:6" ht="18" customHeight="1" x14ac:dyDescent="0.35">
      <c r="B36" s="229" t="s">
        <v>189</v>
      </c>
      <c r="C36" s="229"/>
      <c r="D36" s="229"/>
      <c r="E36" s="229"/>
      <c r="F36" s="229"/>
    </row>
    <row r="37" spans="2:6" ht="15" customHeight="1" x14ac:dyDescent="0.35">
      <c r="B37" s="19" t="s">
        <v>59</v>
      </c>
      <c r="C37" s="19" t="s">
        <v>190</v>
      </c>
      <c r="D37" s="19" t="s">
        <v>70</v>
      </c>
      <c r="E37" s="19" t="s">
        <v>191</v>
      </c>
    </row>
    <row r="38" spans="2:6" ht="15" customHeight="1" x14ac:dyDescent="0.35">
      <c r="B38" s="24" t="s">
        <v>61</v>
      </c>
      <c r="C38" s="16">
        <v>12</v>
      </c>
      <c r="D38" s="21">
        <v>19387</v>
      </c>
      <c r="E38" s="35">
        <v>14</v>
      </c>
    </row>
    <row r="39" spans="2:6" ht="15" customHeight="1" x14ac:dyDescent="0.35">
      <c r="B39" s="24" t="s">
        <v>61</v>
      </c>
      <c r="C39" s="16">
        <v>15</v>
      </c>
      <c r="D39" s="21">
        <v>20702</v>
      </c>
      <c r="E39" s="35">
        <v>14</v>
      </c>
    </row>
    <row r="40" spans="2:6" ht="15" customHeight="1" x14ac:dyDescent="0.35">
      <c r="B40" s="24" t="s">
        <v>61</v>
      </c>
      <c r="C40" s="16">
        <v>20</v>
      </c>
      <c r="D40" s="21">
        <v>22439</v>
      </c>
      <c r="E40" s="35">
        <v>14</v>
      </c>
    </row>
    <row r="41" spans="2:6" ht="15" customHeight="1" x14ac:dyDescent="0.35">
      <c r="B41" s="24" t="s">
        <v>61</v>
      </c>
      <c r="C41" s="16">
        <v>25</v>
      </c>
      <c r="D41" s="21">
        <v>24222</v>
      </c>
      <c r="E41" s="35">
        <v>14</v>
      </c>
    </row>
    <row r="42" spans="2:6" ht="15" customHeight="1" x14ac:dyDescent="0.35">
      <c r="B42" s="24" t="s">
        <v>61</v>
      </c>
      <c r="C42" s="16">
        <v>30</v>
      </c>
      <c r="D42" s="21">
        <v>26241</v>
      </c>
      <c r="E42" s="35">
        <v>14</v>
      </c>
    </row>
    <row r="43" spans="2:6" ht="15" customHeight="1" x14ac:dyDescent="0.35">
      <c r="B43" s="24" t="s">
        <v>62</v>
      </c>
      <c r="C43" s="16">
        <v>15</v>
      </c>
      <c r="D43" s="21">
        <v>27344</v>
      </c>
      <c r="E43" s="35">
        <v>14</v>
      </c>
    </row>
    <row r="44" spans="2:6" ht="15" customHeight="1" x14ac:dyDescent="0.35">
      <c r="B44" s="24" t="s">
        <v>62</v>
      </c>
      <c r="C44" s="16">
        <v>20</v>
      </c>
      <c r="D44" s="21">
        <v>29574</v>
      </c>
      <c r="E44" s="35">
        <v>14</v>
      </c>
    </row>
    <row r="45" spans="2:6" ht="15" customHeight="1" x14ac:dyDescent="0.35">
      <c r="B45" s="24" t="s">
        <v>62</v>
      </c>
      <c r="C45" s="16">
        <v>25</v>
      </c>
      <c r="D45" s="21">
        <v>31828</v>
      </c>
      <c r="E45" s="35">
        <v>14</v>
      </c>
    </row>
    <row r="46" spans="2:6" ht="15" customHeight="1" x14ac:dyDescent="0.35">
      <c r="B46" s="24" t="s">
        <v>192</v>
      </c>
      <c r="C46" s="16">
        <v>6</v>
      </c>
      <c r="D46" s="21">
        <v>148661</v>
      </c>
      <c r="E46" s="35">
        <v>7</v>
      </c>
    </row>
    <row r="47" spans="2:6" ht="15" customHeight="1" x14ac:dyDescent="0.35">
      <c r="B47" s="24" t="s">
        <v>192</v>
      </c>
      <c r="C47" s="16">
        <v>10</v>
      </c>
      <c r="D47" s="21">
        <v>193950</v>
      </c>
      <c r="E47" s="35">
        <v>7</v>
      </c>
    </row>
    <row r="48" spans="2:6" ht="15" customHeight="1" x14ac:dyDescent="0.35">
      <c r="B48" s="24" t="s">
        <v>63</v>
      </c>
      <c r="C48" s="16">
        <v>0</v>
      </c>
      <c r="D48" s="21">
        <v>0</v>
      </c>
      <c r="E48" s="35">
        <v>0</v>
      </c>
    </row>
    <row r="50" spans="2:6" ht="18" customHeight="1" x14ac:dyDescent="0.35">
      <c r="B50" s="229" t="s">
        <v>193</v>
      </c>
      <c r="C50" s="229"/>
      <c r="D50" s="229"/>
      <c r="E50" s="229"/>
      <c r="F50" s="229"/>
    </row>
    <row r="51" spans="2:6" ht="15" customHeight="1" x14ac:dyDescent="0.35">
      <c r="B51" s="19" t="s">
        <v>194</v>
      </c>
      <c r="C51" s="19" t="s">
        <v>195</v>
      </c>
      <c r="D51" s="19" t="s">
        <v>1</v>
      </c>
      <c r="E51" s="19" t="s">
        <v>148</v>
      </c>
    </row>
    <row r="52" spans="2:6" ht="15" customHeight="1" x14ac:dyDescent="0.35">
      <c r="B52" s="15" t="s">
        <v>196</v>
      </c>
      <c r="C52" s="21">
        <v>2.2000000000000002</v>
      </c>
      <c r="D52" s="24" t="s">
        <v>163</v>
      </c>
      <c r="E52" s="24"/>
    </row>
    <row r="53" spans="2:6" ht="15" customHeight="1" x14ac:dyDescent="0.35">
      <c r="B53" s="15" t="s">
        <v>197</v>
      </c>
      <c r="C53" s="21">
        <v>1.8</v>
      </c>
      <c r="D53" s="24" t="s">
        <v>163</v>
      </c>
      <c r="E53" s="24"/>
    </row>
    <row r="54" spans="2:6" ht="15" customHeight="1" x14ac:dyDescent="0.35">
      <c r="B54" s="15" t="s">
        <v>198</v>
      </c>
      <c r="C54" s="21">
        <v>1500</v>
      </c>
      <c r="D54" s="24" t="s">
        <v>199</v>
      </c>
      <c r="E54" s="24"/>
    </row>
    <row r="55" spans="2:6" ht="15" customHeight="1" x14ac:dyDescent="0.35">
      <c r="B55" s="15" t="s">
        <v>200</v>
      </c>
      <c r="C55" s="21">
        <v>650</v>
      </c>
      <c r="D55" s="24" t="s">
        <v>201</v>
      </c>
      <c r="E55" s="24"/>
    </row>
    <row r="56" spans="2:6" ht="15" customHeight="1" x14ac:dyDescent="0.35">
      <c r="B56" s="15" t="s">
        <v>202</v>
      </c>
      <c r="C56" s="21">
        <v>3.5</v>
      </c>
      <c r="D56" s="24" t="s">
        <v>163</v>
      </c>
      <c r="E56" s="24"/>
    </row>
  </sheetData>
  <mergeCells count="6">
    <mergeCell ref="B50:F50"/>
    <mergeCell ref="B1:F1"/>
    <mergeCell ref="B3:F3"/>
    <mergeCell ref="B11:F11"/>
    <mergeCell ref="B21:F21"/>
    <mergeCell ref="B36:F3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60"/>
  <sheetViews>
    <sheetView showGridLines="0" zoomScaleNormal="100" workbookViewId="0">
      <selection activeCell="D8" sqref="D8"/>
    </sheetView>
  </sheetViews>
  <sheetFormatPr defaultColWidth="8.6328125" defaultRowHeight="14.5" x14ac:dyDescent="0.35"/>
  <cols>
    <col min="1" max="1" width="3" customWidth="1"/>
    <col min="2" max="2" width="14.7265625" customWidth="1"/>
    <col min="3" max="3" width="9.453125" customWidth="1"/>
    <col min="4" max="5" width="10.453125" customWidth="1"/>
    <col min="6" max="6" width="11" customWidth="1"/>
    <col min="7" max="7" width="10.26953125" customWidth="1"/>
    <col min="8" max="8" width="4.90625" customWidth="1"/>
  </cols>
  <sheetData>
    <row r="1" spans="2:8" ht="24" customHeight="1" x14ac:dyDescent="0.35">
      <c r="B1" s="230" t="s">
        <v>203</v>
      </c>
      <c r="C1" s="230"/>
      <c r="D1" s="230"/>
      <c r="E1" s="230"/>
      <c r="F1" s="230"/>
      <c r="G1" s="230"/>
      <c r="H1" s="230"/>
    </row>
    <row r="3" spans="2:8" ht="18" customHeight="1" x14ac:dyDescent="0.35">
      <c r="B3" s="229" t="s">
        <v>204</v>
      </c>
      <c r="C3" s="229"/>
      <c r="D3" s="229"/>
      <c r="E3" s="229"/>
      <c r="F3" s="229"/>
      <c r="G3" s="229"/>
      <c r="H3" s="229"/>
    </row>
    <row r="4" spans="2:8" ht="15" customHeight="1" x14ac:dyDescent="0.35">
      <c r="B4" s="19" t="s">
        <v>205</v>
      </c>
      <c r="C4" s="19" t="s">
        <v>206</v>
      </c>
      <c r="D4" s="19" t="s">
        <v>207</v>
      </c>
      <c r="E4" s="19" t="s">
        <v>208</v>
      </c>
      <c r="F4" s="19" t="s">
        <v>209</v>
      </c>
      <c r="G4" s="19" t="s">
        <v>210</v>
      </c>
      <c r="H4" s="19" t="s">
        <v>211</v>
      </c>
    </row>
    <row r="5" spans="2:8" ht="15" customHeight="1" x14ac:dyDescent="0.35">
      <c r="B5" s="36" t="s">
        <v>212</v>
      </c>
      <c r="C5" s="36">
        <v>90</v>
      </c>
      <c r="D5" s="37">
        <v>10234</v>
      </c>
      <c r="E5" s="38">
        <v>93.1</v>
      </c>
      <c r="F5" s="39" t="s">
        <v>213</v>
      </c>
      <c r="G5" s="36" t="s">
        <v>214</v>
      </c>
      <c r="H5" s="36" t="s">
        <v>215</v>
      </c>
    </row>
    <row r="6" spans="2:8" ht="15" customHeight="1" x14ac:dyDescent="0.35">
      <c r="B6" s="24" t="s">
        <v>216</v>
      </c>
      <c r="C6" s="24">
        <v>95</v>
      </c>
      <c r="D6" s="40">
        <v>7383</v>
      </c>
      <c r="E6" s="41">
        <v>67.2</v>
      </c>
      <c r="F6" s="42" t="s">
        <v>213</v>
      </c>
      <c r="G6" s="24" t="s">
        <v>214</v>
      </c>
      <c r="H6" s="24" t="s">
        <v>215</v>
      </c>
    </row>
    <row r="7" spans="2:8" ht="15" customHeight="1" x14ac:dyDescent="0.35">
      <c r="B7" s="36" t="s">
        <v>217</v>
      </c>
      <c r="C7" s="36">
        <v>100</v>
      </c>
      <c r="D7" s="37">
        <v>6900</v>
      </c>
      <c r="E7" s="38">
        <v>62.8</v>
      </c>
      <c r="F7" s="39" t="s">
        <v>213</v>
      </c>
      <c r="G7" s="36" t="s">
        <v>214</v>
      </c>
      <c r="H7" s="36" t="s">
        <v>215</v>
      </c>
    </row>
    <row r="8" spans="2:8" ht="15" customHeight="1" x14ac:dyDescent="0.35">
      <c r="B8" s="24" t="s">
        <v>218</v>
      </c>
      <c r="C8" s="24">
        <v>110</v>
      </c>
      <c r="D8" s="40">
        <v>7356</v>
      </c>
      <c r="E8" s="41">
        <v>66.900000000000006</v>
      </c>
      <c r="F8" s="42" t="s">
        <v>213</v>
      </c>
      <c r="G8" s="24" t="s">
        <v>214</v>
      </c>
      <c r="H8" s="24" t="s">
        <v>215</v>
      </c>
    </row>
    <row r="9" spans="2:8" ht="15" customHeight="1" x14ac:dyDescent="0.35">
      <c r="B9" s="36" t="s">
        <v>219</v>
      </c>
      <c r="C9" s="36">
        <v>120</v>
      </c>
      <c r="D9" s="37">
        <v>9477</v>
      </c>
      <c r="E9" s="38">
        <v>86.2</v>
      </c>
      <c r="F9" s="39" t="s">
        <v>213</v>
      </c>
      <c r="G9" s="36" t="s">
        <v>214</v>
      </c>
      <c r="H9" s="36" t="s">
        <v>215</v>
      </c>
    </row>
    <row r="10" spans="2:8" ht="15" customHeight="1" x14ac:dyDescent="0.35">
      <c r="B10" s="24" t="s">
        <v>220</v>
      </c>
      <c r="C10" s="24">
        <v>130</v>
      </c>
      <c r="D10" s="40">
        <v>30249</v>
      </c>
      <c r="E10" s="41">
        <v>275.3</v>
      </c>
      <c r="F10" s="42" t="s">
        <v>213</v>
      </c>
      <c r="G10" s="24" t="s">
        <v>214</v>
      </c>
      <c r="H10" s="24" t="s">
        <v>215</v>
      </c>
    </row>
    <row r="11" spans="2:8" ht="15" customHeight="1" x14ac:dyDescent="0.35">
      <c r="B11" s="36" t="s">
        <v>31</v>
      </c>
      <c r="C11" s="36">
        <v>140</v>
      </c>
      <c r="D11" s="37">
        <v>23593</v>
      </c>
      <c r="E11" s="38">
        <v>214.7</v>
      </c>
      <c r="F11" s="39" t="s">
        <v>213</v>
      </c>
      <c r="G11" s="36" t="s">
        <v>214</v>
      </c>
      <c r="H11" s="36" t="s">
        <v>215</v>
      </c>
    </row>
    <row r="12" spans="2:8" ht="15" customHeight="1" x14ac:dyDescent="0.35">
      <c r="B12" s="24" t="s">
        <v>33</v>
      </c>
      <c r="C12" s="24">
        <v>160</v>
      </c>
      <c r="D12" s="40">
        <v>28616</v>
      </c>
      <c r="E12" s="41">
        <v>260.39999999999998</v>
      </c>
      <c r="F12" s="42" t="s">
        <v>213</v>
      </c>
      <c r="G12" s="24" t="s">
        <v>214</v>
      </c>
      <c r="H12" s="24" t="s">
        <v>215</v>
      </c>
    </row>
    <row r="13" spans="2:8" ht="15" customHeight="1" x14ac:dyDescent="0.35">
      <c r="B13" s="36" t="s">
        <v>221</v>
      </c>
      <c r="C13" s="36">
        <v>220</v>
      </c>
      <c r="D13" s="37">
        <v>84013</v>
      </c>
      <c r="E13" s="38">
        <v>764.5</v>
      </c>
      <c r="F13" s="39" t="s">
        <v>213</v>
      </c>
      <c r="G13" s="36" t="s">
        <v>214</v>
      </c>
      <c r="H13" s="36" t="s">
        <v>215</v>
      </c>
    </row>
    <row r="14" spans="2:8" ht="15" customHeight="1" x14ac:dyDescent="0.35">
      <c r="B14" s="24" t="s">
        <v>222</v>
      </c>
      <c r="C14" s="24">
        <v>220</v>
      </c>
      <c r="D14" s="40">
        <v>54559</v>
      </c>
      <c r="E14" s="41">
        <v>496.5</v>
      </c>
      <c r="F14" s="42" t="s">
        <v>213</v>
      </c>
      <c r="G14" s="24" t="s">
        <v>214</v>
      </c>
      <c r="H14" s="24" t="s">
        <v>223</v>
      </c>
    </row>
    <row r="15" spans="2:8" ht="15" customHeight="1" x14ac:dyDescent="0.35">
      <c r="B15" s="36" t="s">
        <v>224</v>
      </c>
      <c r="C15" s="36">
        <v>240</v>
      </c>
      <c r="D15" s="37"/>
      <c r="E15" s="38">
        <v>932.1</v>
      </c>
      <c r="F15" s="39" t="s">
        <v>213</v>
      </c>
      <c r="G15" s="36" t="s">
        <v>214</v>
      </c>
      <c r="H15" s="36" t="s">
        <v>223</v>
      </c>
    </row>
    <row r="16" spans="2:8" ht="15" customHeight="1" x14ac:dyDescent="0.35">
      <c r="B16" s="24" t="s">
        <v>225</v>
      </c>
      <c r="C16" s="24">
        <v>260</v>
      </c>
      <c r="D16" s="40">
        <v>75525</v>
      </c>
      <c r="E16" s="41">
        <v>687.3</v>
      </c>
      <c r="F16" s="42" t="s">
        <v>213</v>
      </c>
      <c r="G16" s="24" t="s">
        <v>214</v>
      </c>
      <c r="H16" s="24" t="s">
        <v>223</v>
      </c>
    </row>
    <row r="17" spans="2:8" ht="15" customHeight="1" x14ac:dyDescent="0.35">
      <c r="B17" s="36" t="s">
        <v>226</v>
      </c>
      <c r="C17" s="36">
        <v>160</v>
      </c>
      <c r="D17" s="37">
        <v>33826</v>
      </c>
      <c r="E17" s="38">
        <v>307.8</v>
      </c>
      <c r="F17" s="39" t="s">
        <v>213</v>
      </c>
      <c r="G17" s="36" t="s">
        <v>214</v>
      </c>
      <c r="H17" s="36" t="s">
        <v>227</v>
      </c>
    </row>
    <row r="18" spans="2:8" ht="15" customHeight="1" x14ac:dyDescent="0.35">
      <c r="B18" s="24" t="s">
        <v>228</v>
      </c>
      <c r="C18" s="24">
        <v>170</v>
      </c>
      <c r="D18" s="40">
        <v>35456</v>
      </c>
      <c r="E18" s="41">
        <v>322.60000000000002</v>
      </c>
      <c r="F18" s="42" t="s">
        <v>213</v>
      </c>
      <c r="G18" s="24" t="s">
        <v>214</v>
      </c>
      <c r="H18" s="24" t="s">
        <v>227</v>
      </c>
    </row>
    <row r="19" spans="2:8" ht="15" customHeight="1" x14ac:dyDescent="0.35">
      <c r="B19" s="36" t="s">
        <v>34</v>
      </c>
      <c r="C19" s="36">
        <v>180</v>
      </c>
      <c r="D19" s="37">
        <v>64900</v>
      </c>
      <c r="E19" s="38">
        <v>590.6</v>
      </c>
      <c r="F19" s="39" t="s">
        <v>213</v>
      </c>
      <c r="G19" s="36" t="s">
        <v>214</v>
      </c>
      <c r="H19" s="36" t="s">
        <v>227</v>
      </c>
    </row>
    <row r="20" spans="2:8" ht="15" customHeight="1" x14ac:dyDescent="0.35">
      <c r="B20" s="24" t="s">
        <v>229</v>
      </c>
      <c r="C20" s="24">
        <v>190</v>
      </c>
      <c r="D20" s="40">
        <v>67016</v>
      </c>
      <c r="E20" s="41">
        <v>609.79999999999995</v>
      </c>
      <c r="F20" s="42" t="s">
        <v>213</v>
      </c>
      <c r="G20" s="24" t="s">
        <v>214</v>
      </c>
      <c r="H20" s="24" t="s">
        <v>227</v>
      </c>
    </row>
    <row r="21" spans="2:8" ht="15" customHeight="1" x14ac:dyDescent="0.35">
      <c r="B21" s="36" t="s">
        <v>32</v>
      </c>
      <c r="C21" s="36">
        <v>220</v>
      </c>
      <c r="D21" s="37">
        <v>74531</v>
      </c>
      <c r="E21" s="38">
        <v>678.2</v>
      </c>
      <c r="F21" s="39" t="s">
        <v>213</v>
      </c>
      <c r="G21" s="36" t="s">
        <v>214</v>
      </c>
      <c r="H21" s="36" t="s">
        <v>227</v>
      </c>
    </row>
    <row r="22" spans="2:8" ht="15" customHeight="1" x14ac:dyDescent="0.35">
      <c r="B22" s="24" t="s">
        <v>29</v>
      </c>
      <c r="C22" s="24">
        <v>240</v>
      </c>
      <c r="D22" s="40">
        <v>87609</v>
      </c>
      <c r="E22" s="41">
        <v>797.2</v>
      </c>
      <c r="F22" s="42" t="s">
        <v>213</v>
      </c>
      <c r="G22" s="24" t="s">
        <v>214</v>
      </c>
      <c r="H22" s="24" t="s">
        <v>227</v>
      </c>
    </row>
    <row r="23" spans="2:8" ht="15" customHeight="1" x14ac:dyDescent="0.35">
      <c r="B23" s="36" t="s">
        <v>230</v>
      </c>
      <c r="C23" s="36">
        <v>260</v>
      </c>
      <c r="D23" s="37">
        <v>150761</v>
      </c>
      <c r="E23" s="38">
        <v>1371.9</v>
      </c>
      <c r="F23" s="39" t="s">
        <v>213</v>
      </c>
      <c r="G23" s="36" t="s">
        <v>214</v>
      </c>
      <c r="H23" s="36" t="s">
        <v>227</v>
      </c>
    </row>
    <row r="24" spans="2:8" ht="15" customHeight="1" x14ac:dyDescent="0.35">
      <c r="B24" s="24" t="s">
        <v>231</v>
      </c>
      <c r="C24" s="24">
        <v>300</v>
      </c>
      <c r="D24" s="40">
        <v>197823</v>
      </c>
      <c r="E24" s="41">
        <v>1800.2</v>
      </c>
      <c r="F24" s="42" t="s">
        <v>213</v>
      </c>
      <c r="G24" s="24" t="s">
        <v>214</v>
      </c>
      <c r="H24" s="24" t="s">
        <v>227</v>
      </c>
    </row>
    <row r="25" spans="2:8" ht="15" customHeight="1" x14ac:dyDescent="0.35">
      <c r="B25" s="36" t="s">
        <v>232</v>
      </c>
      <c r="C25" s="36">
        <v>320</v>
      </c>
      <c r="D25" s="37">
        <v>185965</v>
      </c>
      <c r="E25" s="38">
        <v>1692.3</v>
      </c>
      <c r="F25" s="39" t="s">
        <v>233</v>
      </c>
      <c r="G25" s="36" t="s">
        <v>214</v>
      </c>
      <c r="H25" s="36" t="s">
        <v>227</v>
      </c>
    </row>
    <row r="26" spans="2:8" ht="15" customHeight="1" x14ac:dyDescent="0.35">
      <c r="B26" s="24" t="s">
        <v>234</v>
      </c>
      <c r="C26" s="24">
        <v>340</v>
      </c>
      <c r="D26" s="40">
        <v>215156</v>
      </c>
      <c r="E26" s="41">
        <v>1957.9</v>
      </c>
      <c r="F26" s="42" t="s">
        <v>233</v>
      </c>
      <c r="G26" s="24" t="s">
        <v>214</v>
      </c>
      <c r="H26" s="24" t="s">
        <v>227</v>
      </c>
    </row>
    <row r="27" spans="2:8" ht="15" customHeight="1" x14ac:dyDescent="0.35">
      <c r="B27" s="36" t="s">
        <v>35</v>
      </c>
      <c r="C27" s="36">
        <v>380</v>
      </c>
      <c r="D27" s="37"/>
      <c r="E27" s="38">
        <v>4151.7</v>
      </c>
      <c r="F27" s="39" t="s">
        <v>233</v>
      </c>
      <c r="G27" s="36" t="s">
        <v>214</v>
      </c>
      <c r="H27" s="36" t="s">
        <v>227</v>
      </c>
    </row>
    <row r="28" spans="2:8" ht="15" customHeight="1" x14ac:dyDescent="0.35">
      <c r="B28" s="24" t="s">
        <v>30</v>
      </c>
      <c r="C28" s="24">
        <v>400</v>
      </c>
      <c r="D28" s="40"/>
      <c r="E28" s="41">
        <v>4268.3</v>
      </c>
      <c r="F28" s="42" t="s">
        <v>235</v>
      </c>
      <c r="G28" s="24" t="s">
        <v>214</v>
      </c>
      <c r="H28" s="24" t="s">
        <v>227</v>
      </c>
    </row>
    <row r="29" spans="2:8" ht="15" customHeight="1" x14ac:dyDescent="0.35">
      <c r="B29" s="36" t="s">
        <v>236</v>
      </c>
      <c r="C29" s="36">
        <v>420</v>
      </c>
      <c r="D29" s="37"/>
      <c r="E29" s="38">
        <v>5303.3</v>
      </c>
      <c r="F29" s="39" t="s">
        <v>235</v>
      </c>
      <c r="G29" s="36" t="s">
        <v>214</v>
      </c>
      <c r="H29" s="36" t="s">
        <v>227</v>
      </c>
    </row>
    <row r="30" spans="2:8" ht="15" customHeight="1" x14ac:dyDescent="0.35">
      <c r="B30" s="24" t="s">
        <v>237</v>
      </c>
      <c r="C30" s="24">
        <v>440</v>
      </c>
      <c r="D30" s="40"/>
      <c r="E30" s="41">
        <v>6597.7</v>
      </c>
      <c r="F30" s="42" t="s">
        <v>235</v>
      </c>
      <c r="G30" s="24" t="s">
        <v>214</v>
      </c>
      <c r="H30" s="24" t="s">
        <v>227</v>
      </c>
    </row>
    <row r="31" spans="2:8" ht="15" customHeight="1" x14ac:dyDescent="0.35">
      <c r="B31" s="36" t="s">
        <v>238</v>
      </c>
      <c r="C31" s="36">
        <v>460</v>
      </c>
      <c r="D31" s="37"/>
      <c r="E31" s="38">
        <v>6545.7</v>
      </c>
      <c r="F31" s="39" t="s">
        <v>235</v>
      </c>
      <c r="G31" s="36" t="s">
        <v>214</v>
      </c>
      <c r="H31" s="36" t="s">
        <v>227</v>
      </c>
    </row>
    <row r="32" spans="2:8" ht="15" customHeight="1" x14ac:dyDescent="0.35">
      <c r="B32" s="24" t="s">
        <v>239</v>
      </c>
      <c r="C32" s="24">
        <v>480</v>
      </c>
      <c r="D32" s="40"/>
      <c r="E32" s="41">
        <v>8401.4</v>
      </c>
      <c r="F32" s="42" t="s">
        <v>235</v>
      </c>
      <c r="G32" s="24" t="s">
        <v>214</v>
      </c>
      <c r="H32" s="24" t="s">
        <v>227</v>
      </c>
    </row>
    <row r="33" spans="2:8" ht="15" customHeight="1" x14ac:dyDescent="0.35">
      <c r="B33" s="36" t="s">
        <v>240</v>
      </c>
      <c r="C33" s="36">
        <v>160</v>
      </c>
      <c r="D33" s="37"/>
      <c r="E33" s="38">
        <v>370.8</v>
      </c>
      <c r="F33" s="39" t="s">
        <v>213</v>
      </c>
      <c r="G33" s="36" t="s">
        <v>214</v>
      </c>
      <c r="H33" s="36" t="s">
        <v>241</v>
      </c>
    </row>
    <row r="34" spans="2:8" ht="15" customHeight="1" x14ac:dyDescent="0.35">
      <c r="B34" s="24" t="s">
        <v>242</v>
      </c>
      <c r="C34" s="24">
        <v>200</v>
      </c>
      <c r="D34" s="40"/>
      <c r="E34" s="41">
        <v>787.8</v>
      </c>
      <c r="F34" s="42" t="s">
        <v>213</v>
      </c>
      <c r="G34" s="24" t="s">
        <v>214</v>
      </c>
      <c r="H34" s="24" t="s">
        <v>241</v>
      </c>
    </row>
    <row r="35" spans="2:8" ht="15" customHeight="1" x14ac:dyDescent="0.35">
      <c r="B35" s="36" t="s">
        <v>243</v>
      </c>
      <c r="C35" s="36">
        <v>220</v>
      </c>
      <c r="D35" s="37"/>
      <c r="E35" s="38">
        <v>879.9</v>
      </c>
      <c r="F35" s="39" t="s">
        <v>213</v>
      </c>
      <c r="G35" s="36" t="s">
        <v>214</v>
      </c>
      <c r="H35" s="36" t="s">
        <v>241</v>
      </c>
    </row>
    <row r="36" spans="2:8" ht="15" customHeight="1" x14ac:dyDescent="0.35">
      <c r="B36" s="24" t="s">
        <v>244</v>
      </c>
      <c r="C36" s="24">
        <v>300</v>
      </c>
      <c r="D36" s="40"/>
      <c r="E36" s="41">
        <v>2484.5</v>
      </c>
      <c r="F36" s="42" t="s">
        <v>213</v>
      </c>
      <c r="G36" s="24" t="s">
        <v>214</v>
      </c>
      <c r="H36" s="24" t="s">
        <v>241</v>
      </c>
    </row>
    <row r="37" spans="2:8" ht="15" customHeight="1" x14ac:dyDescent="0.35">
      <c r="B37" s="36" t="s">
        <v>245</v>
      </c>
      <c r="C37" s="36">
        <v>360</v>
      </c>
      <c r="D37" s="37"/>
      <c r="E37" s="38">
        <v>5200.1000000000004</v>
      </c>
      <c r="F37" s="39" t="s">
        <v>233</v>
      </c>
      <c r="G37" s="36" t="s">
        <v>214</v>
      </c>
      <c r="H37" s="36" t="s">
        <v>241</v>
      </c>
    </row>
    <row r="38" spans="2:8" ht="15" customHeight="1" x14ac:dyDescent="0.35">
      <c r="B38" s="24" t="s">
        <v>246</v>
      </c>
      <c r="C38" s="24">
        <v>400</v>
      </c>
      <c r="D38" s="40"/>
      <c r="E38" s="41">
        <v>6634.2</v>
      </c>
      <c r="F38" s="42" t="s">
        <v>235</v>
      </c>
      <c r="G38" s="24" t="s">
        <v>214</v>
      </c>
      <c r="H38" s="24" t="s">
        <v>241</v>
      </c>
    </row>
    <row r="41" spans="2:8" ht="18" customHeight="1" x14ac:dyDescent="0.35">
      <c r="B41" s="229" t="s">
        <v>247</v>
      </c>
      <c r="C41" s="229"/>
      <c r="D41" s="229"/>
      <c r="E41" s="229"/>
      <c r="F41" s="229"/>
      <c r="G41" s="229"/>
      <c r="H41" s="229"/>
    </row>
    <row r="42" spans="2:8" ht="15" customHeight="1" x14ac:dyDescent="0.35">
      <c r="B42" s="19" t="s">
        <v>248</v>
      </c>
      <c r="C42" s="19" t="s">
        <v>249</v>
      </c>
      <c r="D42" s="19" t="s">
        <v>208</v>
      </c>
      <c r="E42" s="19" t="s">
        <v>207</v>
      </c>
      <c r="F42" s="19" t="s">
        <v>209</v>
      </c>
      <c r="G42" s="19" t="s">
        <v>210</v>
      </c>
      <c r="H42" s="19"/>
    </row>
    <row r="43" spans="2:8" ht="15" customHeight="1" x14ac:dyDescent="0.35">
      <c r="B43" s="36" t="s">
        <v>250</v>
      </c>
      <c r="C43" s="36">
        <v>22218</v>
      </c>
      <c r="D43" s="38">
        <v>13</v>
      </c>
      <c r="E43" s="37">
        <v>1428</v>
      </c>
      <c r="F43" s="39">
        <v>30</v>
      </c>
      <c r="G43" s="36" t="s">
        <v>137</v>
      </c>
      <c r="H43" s="36"/>
    </row>
    <row r="44" spans="2:8" ht="15" customHeight="1" x14ac:dyDescent="0.35">
      <c r="B44" s="24" t="s">
        <v>251</v>
      </c>
      <c r="C44" s="24">
        <v>22219</v>
      </c>
      <c r="D44" s="41">
        <v>17.8</v>
      </c>
      <c r="E44" s="40"/>
      <c r="F44" s="42">
        <v>30</v>
      </c>
      <c r="G44" s="24" t="s">
        <v>137</v>
      </c>
      <c r="H44" s="24"/>
    </row>
    <row r="45" spans="2:8" ht="15" customHeight="1" x14ac:dyDescent="0.35">
      <c r="B45" s="36" t="s">
        <v>252</v>
      </c>
      <c r="C45" s="36">
        <v>22220</v>
      </c>
      <c r="D45" s="38">
        <v>20.2</v>
      </c>
      <c r="E45" s="37"/>
      <c r="F45" s="39">
        <v>30</v>
      </c>
      <c r="G45" s="36" t="s">
        <v>137</v>
      </c>
      <c r="H45" s="36"/>
    </row>
    <row r="46" spans="2:8" ht="15" customHeight="1" x14ac:dyDescent="0.35">
      <c r="B46" s="24" t="s">
        <v>253</v>
      </c>
      <c r="C46" s="24">
        <v>22222</v>
      </c>
      <c r="D46" s="41">
        <v>13.3</v>
      </c>
      <c r="E46" s="40">
        <v>1463</v>
      </c>
      <c r="F46" s="42">
        <v>30</v>
      </c>
      <c r="G46" s="24" t="s">
        <v>137</v>
      </c>
      <c r="H46" s="24"/>
    </row>
    <row r="47" spans="2:8" ht="15" customHeight="1" x14ac:dyDescent="0.35">
      <c r="B47" s="36" t="s">
        <v>254</v>
      </c>
      <c r="C47" s="36">
        <v>22224</v>
      </c>
      <c r="D47" s="38">
        <v>28.9</v>
      </c>
      <c r="E47" s="37"/>
      <c r="F47" s="39">
        <v>30</v>
      </c>
      <c r="G47" s="36" t="s">
        <v>137</v>
      </c>
      <c r="H47" s="36"/>
    </row>
    <row r="48" spans="2:8" ht="15" customHeight="1" x14ac:dyDescent="0.35">
      <c r="B48" s="24" t="s">
        <v>255</v>
      </c>
      <c r="C48" s="24">
        <v>22226</v>
      </c>
      <c r="D48" s="41">
        <v>28.9</v>
      </c>
      <c r="E48" s="40">
        <v>3181</v>
      </c>
      <c r="F48" s="42">
        <v>30</v>
      </c>
      <c r="G48" s="24" t="s">
        <v>137</v>
      </c>
      <c r="H48" s="24"/>
    </row>
    <row r="49" spans="2:8" ht="15" customHeight="1" x14ac:dyDescent="0.35">
      <c r="B49" s="36" t="s">
        <v>43</v>
      </c>
      <c r="C49" s="36">
        <v>22228</v>
      </c>
      <c r="D49" s="38">
        <v>52.9</v>
      </c>
      <c r="E49" s="37"/>
      <c r="F49" s="39">
        <v>30</v>
      </c>
      <c r="G49" s="36" t="s">
        <v>137</v>
      </c>
      <c r="H49" s="36"/>
    </row>
    <row r="50" spans="2:8" ht="15" customHeight="1" x14ac:dyDescent="0.35">
      <c r="B50" s="24" t="s">
        <v>45</v>
      </c>
      <c r="C50" s="24">
        <v>22232</v>
      </c>
      <c r="D50" s="41">
        <v>45.4</v>
      </c>
      <c r="E50" s="40">
        <v>4988</v>
      </c>
      <c r="F50" s="42">
        <v>30</v>
      </c>
      <c r="G50" s="24" t="s">
        <v>137</v>
      </c>
      <c r="H50" s="24"/>
    </row>
    <row r="51" spans="2:8" ht="15" customHeight="1" x14ac:dyDescent="0.35">
      <c r="B51" s="36" t="s">
        <v>256</v>
      </c>
      <c r="C51" s="36">
        <v>22236</v>
      </c>
      <c r="D51" s="38"/>
      <c r="E51" s="37">
        <v>13800</v>
      </c>
      <c r="F51" s="39">
        <v>30</v>
      </c>
      <c r="G51" s="36" t="s">
        <v>137</v>
      </c>
      <c r="H51" s="36"/>
    </row>
    <row r="52" spans="2:8" ht="15" customHeight="1" x14ac:dyDescent="0.35">
      <c r="B52" s="24" t="s">
        <v>257</v>
      </c>
      <c r="C52" s="24">
        <v>23044</v>
      </c>
      <c r="D52" s="41">
        <v>303.10000000000002</v>
      </c>
      <c r="E52" s="40"/>
      <c r="F52" s="42">
        <v>75</v>
      </c>
      <c r="G52" s="24" t="s">
        <v>137</v>
      </c>
      <c r="H52" s="24"/>
    </row>
    <row r="53" spans="2:8" ht="15" customHeight="1" x14ac:dyDescent="0.35">
      <c r="B53" s="36" t="s">
        <v>258</v>
      </c>
      <c r="C53" s="36">
        <v>23048</v>
      </c>
      <c r="D53" s="38">
        <v>498.3</v>
      </c>
      <c r="E53" s="37"/>
      <c r="F53" s="39">
        <v>75</v>
      </c>
      <c r="G53" s="36" t="s">
        <v>137</v>
      </c>
      <c r="H53" s="36"/>
    </row>
    <row r="54" spans="2:8" ht="15" customHeight="1" x14ac:dyDescent="0.35">
      <c r="B54" s="24" t="s">
        <v>259</v>
      </c>
      <c r="C54" s="24">
        <v>23052</v>
      </c>
      <c r="D54" s="41">
        <v>463.9</v>
      </c>
      <c r="E54" s="40"/>
      <c r="F54" s="42">
        <v>75</v>
      </c>
      <c r="G54" s="24" t="s">
        <v>137</v>
      </c>
      <c r="H54" s="24"/>
    </row>
    <row r="55" spans="2:8" ht="15" customHeight="1" x14ac:dyDescent="0.35">
      <c r="B55" s="36" t="s">
        <v>260</v>
      </c>
      <c r="C55" s="36">
        <v>23060</v>
      </c>
      <c r="D55" s="38">
        <v>678.3</v>
      </c>
      <c r="E55" s="37"/>
      <c r="F55" s="39">
        <v>75</v>
      </c>
      <c r="G55" s="36" t="s">
        <v>137</v>
      </c>
      <c r="H55" s="36"/>
    </row>
    <row r="56" spans="2:8" ht="15" customHeight="1" x14ac:dyDescent="0.35">
      <c r="B56" s="24" t="s">
        <v>261</v>
      </c>
      <c r="C56" s="24">
        <v>23064</v>
      </c>
      <c r="D56" s="41">
        <v>596.70000000000005</v>
      </c>
      <c r="E56" s="40"/>
      <c r="F56" s="42">
        <v>75</v>
      </c>
      <c r="G56" s="24" t="s">
        <v>137</v>
      </c>
      <c r="H56" s="24"/>
    </row>
    <row r="57" spans="2:8" ht="15" customHeight="1" x14ac:dyDescent="0.35">
      <c r="B57" s="36" t="s">
        <v>46</v>
      </c>
      <c r="C57" s="36">
        <v>23136</v>
      </c>
      <c r="D57" s="38"/>
      <c r="E57" s="37">
        <v>13800</v>
      </c>
      <c r="F57" s="39">
        <v>30</v>
      </c>
      <c r="G57" s="36" t="s">
        <v>137</v>
      </c>
      <c r="H57" s="36"/>
    </row>
    <row r="58" spans="2:8" ht="15" customHeight="1" x14ac:dyDescent="0.35">
      <c r="B58" s="24" t="s">
        <v>262</v>
      </c>
      <c r="C58" s="24">
        <v>23144</v>
      </c>
      <c r="D58" s="41"/>
      <c r="E58" s="40"/>
      <c r="F58" s="42">
        <v>75</v>
      </c>
      <c r="G58" s="24" t="s">
        <v>137</v>
      </c>
      <c r="H58" s="24"/>
    </row>
    <row r="59" spans="2:8" ht="15" customHeight="1" x14ac:dyDescent="0.35">
      <c r="B59" s="36" t="s">
        <v>263</v>
      </c>
      <c r="C59" s="36">
        <v>23160</v>
      </c>
      <c r="D59" s="38">
        <v>534.20000000000005</v>
      </c>
      <c r="E59" s="37"/>
      <c r="F59" s="39">
        <v>75</v>
      </c>
      <c r="G59" s="36" t="s">
        <v>137</v>
      </c>
      <c r="H59" s="36"/>
    </row>
    <row r="60" spans="2:8" ht="15" customHeight="1" x14ac:dyDescent="0.35">
      <c r="B60" s="24" t="s">
        <v>264</v>
      </c>
      <c r="C60" s="24">
        <v>23164</v>
      </c>
      <c r="D60" s="41"/>
      <c r="E60" s="40"/>
      <c r="F60" s="42">
        <v>75</v>
      </c>
      <c r="G60" s="24" t="s">
        <v>137</v>
      </c>
      <c r="H60" s="24"/>
    </row>
  </sheetData>
  <mergeCells count="3">
    <mergeCell ref="B1:H1"/>
    <mergeCell ref="B3:H3"/>
    <mergeCell ref="B41:H4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13"/>
  <sheetViews>
    <sheetView zoomScale="70" zoomScaleNormal="70" workbookViewId="0">
      <pane xSplit="5" ySplit="3" topLeftCell="Z4" activePane="bottomRight" state="frozen"/>
      <selection pane="topRight" activeCell="F1" sqref="F1"/>
      <selection pane="bottomLeft" activeCell="A5" sqref="A5"/>
      <selection pane="bottomRight" activeCell="D16" sqref="D16"/>
    </sheetView>
  </sheetViews>
  <sheetFormatPr defaultColWidth="8.6328125" defaultRowHeight="14.5" x14ac:dyDescent="0.35"/>
  <cols>
    <col min="1" max="1" width="27.7265625" customWidth="1"/>
    <col min="2" max="2" width="22" customWidth="1"/>
    <col min="3" max="3" width="9" customWidth="1"/>
    <col min="4" max="4" width="32" customWidth="1"/>
    <col min="5" max="5" width="10" customWidth="1"/>
    <col min="6" max="10" width="9" customWidth="1"/>
    <col min="11" max="11" width="6.6328125" bestFit="1" customWidth="1"/>
    <col min="12" max="12" width="9" customWidth="1"/>
    <col min="13" max="69" width="11.90625" customWidth="1"/>
  </cols>
  <sheetData>
    <row r="1" spans="1:73" ht="17.399999999999999" customHeight="1" x14ac:dyDescent="0.35">
      <c r="A1" s="102" t="s">
        <v>265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73" ht="15" customHeight="1" x14ac:dyDescent="0.35">
      <c r="A2" s="103" t="s">
        <v>266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spans="1:73" ht="30" customHeight="1" x14ac:dyDescent="0.35">
      <c r="A3" s="43"/>
      <c r="B3" s="43"/>
      <c r="C3" s="43"/>
      <c r="D3" s="43"/>
      <c r="E3" s="43"/>
      <c r="F3" s="231" t="str">
        <f>'Pricing Tool'!C5</f>
        <v>MODEL 1</v>
      </c>
      <c r="G3" s="232"/>
      <c r="H3" s="232"/>
      <c r="I3" s="233"/>
      <c r="J3" s="231" t="str">
        <f>'Pricing Tool'!D5</f>
        <v>MODEL 2</v>
      </c>
      <c r="K3" s="232"/>
      <c r="L3" s="232"/>
      <c r="M3" s="233"/>
      <c r="N3" s="231" t="str">
        <f>'Pricing Tool'!E5</f>
        <v>MODEL 3</v>
      </c>
      <c r="O3" s="232"/>
      <c r="P3" s="232"/>
      <c r="Q3" s="233"/>
      <c r="R3" s="231" t="str">
        <f>'Pricing Tool'!F5</f>
        <v>MODEL 4</v>
      </c>
      <c r="S3" s="232"/>
      <c r="T3" s="232"/>
      <c r="U3" s="233"/>
      <c r="V3" s="231" t="str">
        <f>'Pricing Tool'!G5</f>
        <v>MODEL 5</v>
      </c>
      <c r="W3" s="232"/>
      <c r="X3" s="232"/>
      <c r="Y3" s="233"/>
      <c r="Z3" s="231" t="str">
        <f>'Pricing Tool'!H5</f>
        <v>MODEL 6</v>
      </c>
      <c r="AA3" s="232"/>
      <c r="AB3" s="232"/>
      <c r="AC3" s="233"/>
      <c r="AD3" s="231" t="str">
        <f>'Pricing Tool'!I5</f>
        <v>MODEL 7</v>
      </c>
      <c r="AE3" s="232"/>
      <c r="AF3" s="232"/>
      <c r="AG3" s="233"/>
      <c r="AH3" s="231" t="str">
        <f>'Pricing Tool'!J5</f>
        <v>MODEL 8</v>
      </c>
      <c r="AI3" s="232"/>
      <c r="AJ3" s="232"/>
      <c r="AK3" s="233"/>
      <c r="AL3" s="231" t="str">
        <f>'Pricing Tool'!K5</f>
        <v>MODEL 9</v>
      </c>
      <c r="AM3" s="232"/>
      <c r="AN3" s="232"/>
      <c r="AO3" s="233"/>
      <c r="AP3" s="231" t="str">
        <f>'Pricing Tool'!L5</f>
        <v>MODEL 10</v>
      </c>
      <c r="AQ3" s="232"/>
      <c r="AR3" s="232"/>
      <c r="AS3" s="233"/>
      <c r="AT3" s="231" t="str">
        <f>'Pricing Tool'!M5</f>
        <v>MODEL 11</v>
      </c>
      <c r="AU3" s="232"/>
      <c r="AV3" s="232"/>
      <c r="AW3" s="233"/>
      <c r="AX3" s="231" t="str">
        <f>'Pricing Tool'!N5</f>
        <v>MODEL 12</v>
      </c>
      <c r="AY3" s="232"/>
      <c r="AZ3" s="232"/>
      <c r="BA3" s="233"/>
      <c r="BB3" s="231" t="str">
        <f>'Pricing Tool'!O5</f>
        <v>MODEL 13</v>
      </c>
      <c r="BC3" s="232"/>
      <c r="BD3" s="232"/>
      <c r="BE3" s="233"/>
      <c r="BF3" s="231" t="str">
        <f>'Pricing Tool'!P5</f>
        <v>MODEL 14</v>
      </c>
      <c r="BG3" s="232"/>
      <c r="BH3" s="232"/>
      <c r="BI3" s="233"/>
      <c r="BJ3" s="231" t="str">
        <f>'Pricing Tool'!Q5</f>
        <v>MODEL 15</v>
      </c>
      <c r="BK3" s="232"/>
      <c r="BL3" s="232"/>
      <c r="BM3" s="233"/>
      <c r="BN3" s="231" t="str">
        <f>'Pricing Tool'!R5</f>
        <v>MODEL 16</v>
      </c>
      <c r="BO3" s="232"/>
      <c r="BP3" s="232"/>
      <c r="BQ3" s="233"/>
      <c r="BR3" s="231" t="str">
        <f>'Pricing Tool'!S5</f>
        <v>MODEL 17</v>
      </c>
      <c r="BS3" s="232"/>
      <c r="BT3" s="232"/>
      <c r="BU3" s="233"/>
    </row>
    <row r="4" spans="1:73" ht="23" x14ac:dyDescent="0.35">
      <c r="A4" s="43" t="s">
        <v>267</v>
      </c>
      <c r="B4" s="43" t="s">
        <v>172</v>
      </c>
      <c r="C4" s="43" t="s">
        <v>268</v>
      </c>
      <c r="D4" s="43" t="s">
        <v>269</v>
      </c>
      <c r="E4" s="43" t="s">
        <v>270</v>
      </c>
      <c r="F4" s="44" t="s">
        <v>281</v>
      </c>
      <c r="G4" s="44" t="s">
        <v>282</v>
      </c>
      <c r="H4" s="44" t="s">
        <v>283</v>
      </c>
      <c r="I4" s="44" t="s">
        <v>284</v>
      </c>
      <c r="J4" s="44" t="s">
        <v>281</v>
      </c>
      <c r="K4" s="44" t="s">
        <v>282</v>
      </c>
      <c r="L4" s="44" t="s">
        <v>283</v>
      </c>
      <c r="M4" s="44" t="s">
        <v>284</v>
      </c>
      <c r="N4" s="44" t="s">
        <v>281</v>
      </c>
      <c r="O4" s="44" t="s">
        <v>282</v>
      </c>
      <c r="P4" s="44" t="s">
        <v>283</v>
      </c>
      <c r="Q4" s="44" t="s">
        <v>284</v>
      </c>
      <c r="R4" s="44" t="s">
        <v>281</v>
      </c>
      <c r="S4" s="44" t="s">
        <v>282</v>
      </c>
      <c r="T4" s="44" t="s">
        <v>283</v>
      </c>
      <c r="U4" s="44" t="s">
        <v>284</v>
      </c>
      <c r="V4" s="44" t="s">
        <v>281</v>
      </c>
      <c r="W4" s="44" t="s">
        <v>282</v>
      </c>
      <c r="X4" s="44" t="s">
        <v>283</v>
      </c>
      <c r="Y4" s="44" t="s">
        <v>284</v>
      </c>
      <c r="Z4" s="44" t="s">
        <v>281</v>
      </c>
      <c r="AA4" s="44" t="s">
        <v>282</v>
      </c>
      <c r="AB4" s="44" t="s">
        <v>283</v>
      </c>
      <c r="AC4" s="44" t="s">
        <v>284</v>
      </c>
      <c r="AD4" s="44" t="s">
        <v>281</v>
      </c>
      <c r="AE4" s="44" t="s">
        <v>282</v>
      </c>
      <c r="AF4" s="44" t="s">
        <v>283</v>
      </c>
      <c r="AG4" s="44" t="s">
        <v>284</v>
      </c>
      <c r="AH4" s="44" t="s">
        <v>281</v>
      </c>
      <c r="AI4" s="44" t="s">
        <v>282</v>
      </c>
      <c r="AJ4" s="44" t="s">
        <v>283</v>
      </c>
      <c r="AK4" s="44" t="s">
        <v>284</v>
      </c>
      <c r="AL4" s="44" t="s">
        <v>281</v>
      </c>
      <c r="AM4" s="44" t="s">
        <v>282</v>
      </c>
      <c r="AN4" s="44" t="s">
        <v>283</v>
      </c>
      <c r="AO4" s="44" t="s">
        <v>284</v>
      </c>
      <c r="AP4" s="44" t="s">
        <v>281</v>
      </c>
      <c r="AQ4" s="44" t="s">
        <v>282</v>
      </c>
      <c r="AR4" s="44" t="s">
        <v>283</v>
      </c>
      <c r="AS4" s="44" t="s">
        <v>284</v>
      </c>
      <c r="AT4" s="44" t="s">
        <v>281</v>
      </c>
      <c r="AU4" s="44" t="s">
        <v>282</v>
      </c>
      <c r="AV4" s="44" t="s">
        <v>283</v>
      </c>
      <c r="AW4" s="44" t="s">
        <v>284</v>
      </c>
      <c r="AX4" s="44" t="s">
        <v>281</v>
      </c>
      <c r="AY4" s="44" t="s">
        <v>282</v>
      </c>
      <c r="AZ4" s="44" t="s">
        <v>283</v>
      </c>
      <c r="BA4" s="44" t="s">
        <v>284</v>
      </c>
      <c r="BB4" s="44" t="s">
        <v>281</v>
      </c>
      <c r="BC4" s="44" t="s">
        <v>282</v>
      </c>
      <c r="BD4" s="44" t="s">
        <v>283</v>
      </c>
      <c r="BE4" s="44" t="s">
        <v>284</v>
      </c>
      <c r="BF4" s="44" t="s">
        <v>281</v>
      </c>
      <c r="BG4" s="44" t="s">
        <v>282</v>
      </c>
      <c r="BH4" s="44" t="s">
        <v>283</v>
      </c>
      <c r="BI4" s="44" t="s">
        <v>284</v>
      </c>
      <c r="BJ4" s="44" t="s">
        <v>281</v>
      </c>
      <c r="BK4" s="44" t="s">
        <v>282</v>
      </c>
      <c r="BL4" s="44" t="s">
        <v>283</v>
      </c>
      <c r="BM4" s="44" t="s">
        <v>284</v>
      </c>
      <c r="BN4" s="44" t="s">
        <v>281</v>
      </c>
      <c r="BO4" s="44" t="s">
        <v>282</v>
      </c>
      <c r="BP4" s="44" t="s">
        <v>283</v>
      </c>
      <c r="BQ4" s="44" t="s">
        <v>284</v>
      </c>
      <c r="BR4" s="44" t="s">
        <v>281</v>
      </c>
      <c r="BS4" s="44" t="s">
        <v>282</v>
      </c>
      <c r="BT4" s="44" t="s">
        <v>283</v>
      </c>
      <c r="BU4" s="44" t="s">
        <v>284</v>
      </c>
    </row>
    <row r="5" spans="1:73" ht="29" x14ac:dyDescent="0.35">
      <c r="A5" t="s">
        <v>139</v>
      </c>
      <c r="B5" s="203" t="s">
        <v>778</v>
      </c>
      <c r="D5" s="112" t="s">
        <v>640</v>
      </c>
      <c r="E5" s="100">
        <v>24.520266414042009</v>
      </c>
      <c r="F5" s="5">
        <v>3210</v>
      </c>
      <c r="G5" s="5">
        <v>930</v>
      </c>
      <c r="H5" s="99">
        <f t="shared" ref="H5:H10" si="0">F5+G5</f>
        <v>4140</v>
      </c>
      <c r="I5" s="8">
        <f t="shared" ref="I5:I10" si="1">$E5*H5</f>
        <v>101513.90295413391</v>
      </c>
      <c r="J5" s="5">
        <v>3210</v>
      </c>
      <c r="K5" s="5">
        <v>930</v>
      </c>
      <c r="L5" s="99">
        <f t="shared" ref="L5:L10" si="2">J5+K5</f>
        <v>4140</v>
      </c>
      <c r="M5" s="8">
        <f t="shared" ref="M5:AO10" si="3">$E5*L5</f>
        <v>101513.90295413391</v>
      </c>
      <c r="N5" s="5">
        <v>3210</v>
      </c>
      <c r="O5" s="5">
        <v>930</v>
      </c>
      <c r="P5" s="99">
        <f t="shared" ref="P5:P10" si="4">N5+O5</f>
        <v>4140</v>
      </c>
      <c r="Q5" s="8">
        <f t="shared" si="3"/>
        <v>101513.90295413391</v>
      </c>
      <c r="R5" s="5">
        <v>2000</v>
      </c>
      <c r="S5" s="5">
        <v>930</v>
      </c>
      <c r="T5" s="99">
        <f t="shared" ref="T5:T10" si="5">R5+S5</f>
        <v>2930</v>
      </c>
      <c r="U5" s="8">
        <f t="shared" si="3"/>
        <v>71844.380593143083</v>
      </c>
      <c r="V5" s="5">
        <v>3210</v>
      </c>
      <c r="W5" s="5">
        <v>930</v>
      </c>
      <c r="X5" s="99">
        <f t="shared" ref="X5:X10" si="6">V5+W5</f>
        <v>4140</v>
      </c>
      <c r="Y5" s="8">
        <f t="shared" si="3"/>
        <v>101513.90295413391</v>
      </c>
      <c r="Z5" s="5">
        <v>3210</v>
      </c>
      <c r="AA5" s="5">
        <v>930</v>
      </c>
      <c r="AB5" s="99">
        <f t="shared" ref="AB5:AB10" si="7">Z5+AA5</f>
        <v>4140</v>
      </c>
      <c r="AC5" s="8">
        <f t="shared" si="3"/>
        <v>101513.90295413391</v>
      </c>
      <c r="AD5" s="5">
        <v>3210</v>
      </c>
      <c r="AE5" s="5">
        <v>930</v>
      </c>
      <c r="AF5" s="99">
        <f t="shared" ref="AF5:AF10" si="8">AD5+AE5</f>
        <v>4140</v>
      </c>
      <c r="AG5" s="8">
        <f t="shared" si="3"/>
        <v>101513.90295413391</v>
      </c>
      <c r="AH5" s="5">
        <v>3210</v>
      </c>
      <c r="AI5" s="5">
        <v>930</v>
      </c>
      <c r="AJ5" s="99">
        <f t="shared" ref="AJ5:AJ10" si="9">AH5+AI5</f>
        <v>4140</v>
      </c>
      <c r="AK5" s="8">
        <f t="shared" si="3"/>
        <v>101513.90295413391</v>
      </c>
      <c r="AL5" s="5">
        <v>3210</v>
      </c>
      <c r="AM5" s="5">
        <v>930</v>
      </c>
      <c r="AN5" s="99">
        <f t="shared" ref="AN5:AN10" si="10">AL5+AM5</f>
        <v>4140</v>
      </c>
      <c r="AO5" s="8">
        <f t="shared" si="3"/>
        <v>101513.90295413391</v>
      </c>
      <c r="AP5" s="5">
        <v>3210</v>
      </c>
      <c r="AQ5" s="5">
        <v>930</v>
      </c>
      <c r="AR5" s="99">
        <f t="shared" ref="AR5:AR10" si="11">AP5+AQ5</f>
        <v>4140</v>
      </c>
      <c r="AS5" s="8">
        <f t="shared" ref="AS5:BQ10" si="12">$E5*AR5</f>
        <v>101513.90295413391</v>
      </c>
      <c r="AT5" s="5">
        <v>3210</v>
      </c>
      <c r="AU5" s="5">
        <v>930</v>
      </c>
      <c r="AV5" s="99">
        <f t="shared" ref="AV5:AV10" si="13">AT5+AU5</f>
        <v>4140</v>
      </c>
      <c r="AW5" s="8">
        <f t="shared" si="12"/>
        <v>101513.90295413391</v>
      </c>
      <c r="AX5" s="5">
        <v>3210</v>
      </c>
      <c r="AY5" s="5">
        <v>930</v>
      </c>
      <c r="AZ5" s="99">
        <f t="shared" ref="AZ5:AZ10" si="14">AX5+AY5</f>
        <v>4140</v>
      </c>
      <c r="BA5" s="8">
        <f t="shared" si="12"/>
        <v>101513.90295413391</v>
      </c>
      <c r="BB5" s="5">
        <v>3210</v>
      </c>
      <c r="BC5" s="5">
        <v>930</v>
      </c>
      <c r="BD5" s="99">
        <f t="shared" ref="BD5:BD10" si="15">BB5+BC5</f>
        <v>4140</v>
      </c>
      <c r="BE5" s="8">
        <f t="shared" si="12"/>
        <v>101513.90295413391</v>
      </c>
      <c r="BF5" s="5">
        <v>3210</v>
      </c>
      <c r="BG5" s="5">
        <v>930</v>
      </c>
      <c r="BH5" s="99">
        <f t="shared" ref="BH5:BH10" si="16">BF5+BG5</f>
        <v>4140</v>
      </c>
      <c r="BI5" s="8">
        <f t="shared" si="12"/>
        <v>101513.90295413391</v>
      </c>
      <c r="BJ5" s="5">
        <v>3210</v>
      </c>
      <c r="BK5" s="5">
        <v>930</v>
      </c>
      <c r="BL5" s="99">
        <f t="shared" ref="BL5:BL10" si="17">BJ5+BK5</f>
        <v>4140</v>
      </c>
      <c r="BM5" s="8">
        <f t="shared" si="12"/>
        <v>101513.90295413391</v>
      </c>
      <c r="BN5" s="5">
        <v>3210</v>
      </c>
      <c r="BO5" s="5">
        <v>930</v>
      </c>
      <c r="BP5" s="99">
        <f t="shared" ref="BP5:BP10" si="18">BN5+BO5</f>
        <v>4140</v>
      </c>
      <c r="BQ5" s="8">
        <f t="shared" si="12"/>
        <v>101513.90295413391</v>
      </c>
      <c r="BR5" s="5">
        <v>3210</v>
      </c>
      <c r="BS5" s="5">
        <v>930</v>
      </c>
      <c r="BT5" s="99">
        <f t="shared" ref="BT5:BT10" si="19">BR5+BS5</f>
        <v>4140</v>
      </c>
      <c r="BU5" s="8">
        <f t="shared" ref="BU5" si="20">$E5*BT5</f>
        <v>101513.90295413391</v>
      </c>
    </row>
    <row r="6" spans="1:73" x14ac:dyDescent="0.35">
      <c r="A6" t="s">
        <v>143</v>
      </c>
      <c r="B6" t="s">
        <v>285</v>
      </c>
      <c r="D6" s="112" t="s">
        <v>643</v>
      </c>
      <c r="E6" s="100">
        <v>12.958718728244977</v>
      </c>
      <c r="F6" s="5">
        <v>1530</v>
      </c>
      <c r="G6" s="5">
        <v>0</v>
      </c>
      <c r="H6" s="99">
        <f t="shared" si="0"/>
        <v>1530</v>
      </c>
      <c r="I6" s="8">
        <f t="shared" si="1"/>
        <v>19826.839654214815</v>
      </c>
      <c r="J6" s="5">
        <v>1530</v>
      </c>
      <c r="K6" s="5">
        <v>0</v>
      </c>
      <c r="L6" s="99">
        <f t="shared" si="2"/>
        <v>1530</v>
      </c>
      <c r="M6" s="8">
        <f t="shared" si="3"/>
        <v>19826.839654214815</v>
      </c>
      <c r="N6" s="5">
        <v>1530</v>
      </c>
      <c r="O6" s="5">
        <v>0</v>
      </c>
      <c r="P6" s="99">
        <f t="shared" si="4"/>
        <v>1530</v>
      </c>
      <c r="Q6" s="8">
        <f t="shared" si="3"/>
        <v>19826.839654214815</v>
      </c>
      <c r="R6" s="5">
        <v>1530</v>
      </c>
      <c r="S6" s="5">
        <v>0</v>
      </c>
      <c r="T6" s="99">
        <f t="shared" si="5"/>
        <v>1530</v>
      </c>
      <c r="U6" s="8">
        <f t="shared" si="3"/>
        <v>19826.839654214815</v>
      </c>
      <c r="V6" s="5">
        <v>1530</v>
      </c>
      <c r="W6" s="5">
        <v>0</v>
      </c>
      <c r="X6" s="99">
        <f t="shared" si="6"/>
        <v>1530</v>
      </c>
      <c r="Y6" s="8">
        <f t="shared" si="3"/>
        <v>19826.839654214815</v>
      </c>
      <c r="Z6" s="5">
        <v>1530</v>
      </c>
      <c r="AA6" s="5">
        <v>0</v>
      </c>
      <c r="AB6" s="99">
        <f t="shared" si="7"/>
        <v>1530</v>
      </c>
      <c r="AC6" s="8">
        <f t="shared" si="3"/>
        <v>19826.839654214815</v>
      </c>
      <c r="AD6" s="5">
        <v>1530</v>
      </c>
      <c r="AE6" s="5">
        <v>0</v>
      </c>
      <c r="AF6" s="99">
        <f t="shared" si="8"/>
        <v>1530</v>
      </c>
      <c r="AG6" s="8">
        <f t="shared" si="3"/>
        <v>19826.839654214815</v>
      </c>
      <c r="AH6" s="5">
        <v>1530</v>
      </c>
      <c r="AI6" s="5">
        <v>0</v>
      </c>
      <c r="AJ6" s="99">
        <f t="shared" si="9"/>
        <v>1530</v>
      </c>
      <c r="AK6" s="8">
        <f t="shared" si="3"/>
        <v>19826.839654214815</v>
      </c>
      <c r="AL6" s="5">
        <v>1530</v>
      </c>
      <c r="AM6" s="5">
        <v>0</v>
      </c>
      <c r="AN6" s="99">
        <f t="shared" si="10"/>
        <v>1530</v>
      </c>
      <c r="AO6" s="8">
        <f t="shared" si="3"/>
        <v>19826.839654214815</v>
      </c>
      <c r="AP6" s="5">
        <v>1530</v>
      </c>
      <c r="AQ6" s="5">
        <v>0</v>
      </c>
      <c r="AR6" s="99">
        <f t="shared" si="11"/>
        <v>1530</v>
      </c>
      <c r="AS6" s="8">
        <f t="shared" si="12"/>
        <v>19826.839654214815</v>
      </c>
      <c r="AT6" s="5">
        <v>1530</v>
      </c>
      <c r="AU6" s="5">
        <v>0</v>
      </c>
      <c r="AV6" s="99">
        <f t="shared" si="13"/>
        <v>1530</v>
      </c>
      <c r="AW6" s="8">
        <f t="shared" si="12"/>
        <v>19826.839654214815</v>
      </c>
      <c r="AX6" s="5">
        <v>1530</v>
      </c>
      <c r="AY6" s="5">
        <v>0</v>
      </c>
      <c r="AZ6" s="99">
        <f t="shared" si="14"/>
        <v>1530</v>
      </c>
      <c r="BA6" s="8">
        <f t="shared" si="12"/>
        <v>19826.839654214815</v>
      </c>
      <c r="BB6" s="5">
        <v>1530</v>
      </c>
      <c r="BC6" s="5">
        <v>0</v>
      </c>
      <c r="BD6" s="99">
        <f t="shared" si="15"/>
        <v>1530</v>
      </c>
      <c r="BE6" s="8">
        <f t="shared" si="12"/>
        <v>19826.839654214815</v>
      </c>
      <c r="BF6" s="5">
        <v>1530</v>
      </c>
      <c r="BG6" s="5">
        <v>0</v>
      </c>
      <c r="BH6" s="99">
        <f t="shared" si="16"/>
        <v>1530</v>
      </c>
      <c r="BI6" s="8">
        <f t="shared" si="12"/>
        <v>19826.839654214815</v>
      </c>
      <c r="BJ6" s="5">
        <v>1530</v>
      </c>
      <c r="BK6" s="5">
        <v>0</v>
      </c>
      <c r="BL6" s="99">
        <f t="shared" si="17"/>
        <v>1530</v>
      </c>
      <c r="BM6" s="8">
        <f t="shared" si="12"/>
        <v>19826.839654214815</v>
      </c>
      <c r="BN6" s="5">
        <v>1530</v>
      </c>
      <c r="BO6" s="5">
        <v>0</v>
      </c>
      <c r="BP6" s="99">
        <f t="shared" si="18"/>
        <v>1530</v>
      </c>
      <c r="BQ6" s="8">
        <f t="shared" si="12"/>
        <v>19826.839654214815</v>
      </c>
      <c r="BR6" s="5">
        <v>1530</v>
      </c>
      <c r="BS6" s="5">
        <v>0</v>
      </c>
      <c r="BT6" s="99">
        <f t="shared" si="19"/>
        <v>1530</v>
      </c>
      <c r="BU6" s="8">
        <f t="shared" ref="BU6" si="21">$E6*BT6</f>
        <v>19826.839654214815</v>
      </c>
    </row>
    <row r="7" spans="1:73" x14ac:dyDescent="0.35">
      <c r="A7" t="s">
        <v>138</v>
      </c>
      <c r="B7" t="s">
        <v>178</v>
      </c>
      <c r="D7" s="112" t="s">
        <v>639</v>
      </c>
      <c r="E7" s="100">
        <v>79.011410264092902</v>
      </c>
      <c r="F7" s="5">
        <v>390</v>
      </c>
      <c r="G7" s="5">
        <v>150</v>
      </c>
      <c r="H7" s="99">
        <f t="shared" si="0"/>
        <v>540</v>
      </c>
      <c r="I7" s="8">
        <f t="shared" si="1"/>
        <v>42666.161542610163</v>
      </c>
      <c r="J7" s="5">
        <v>390</v>
      </c>
      <c r="K7" s="5">
        <v>150</v>
      </c>
      <c r="L7" s="99">
        <f t="shared" si="2"/>
        <v>540</v>
      </c>
      <c r="M7" s="8">
        <f t="shared" si="3"/>
        <v>42666.161542610163</v>
      </c>
      <c r="N7" s="5">
        <v>390</v>
      </c>
      <c r="O7" s="5">
        <v>150</v>
      </c>
      <c r="P7" s="99">
        <f t="shared" si="4"/>
        <v>540</v>
      </c>
      <c r="Q7" s="8">
        <f t="shared" si="3"/>
        <v>42666.161542610163</v>
      </c>
      <c r="R7" s="5">
        <v>390</v>
      </c>
      <c r="S7" s="5">
        <v>150</v>
      </c>
      <c r="T7" s="99">
        <f t="shared" si="5"/>
        <v>540</v>
      </c>
      <c r="U7" s="8">
        <f t="shared" si="3"/>
        <v>42666.161542610163</v>
      </c>
      <c r="V7" s="5">
        <v>390</v>
      </c>
      <c r="W7" s="5">
        <v>150</v>
      </c>
      <c r="X7" s="99">
        <f t="shared" si="6"/>
        <v>540</v>
      </c>
      <c r="Y7" s="8">
        <f t="shared" si="3"/>
        <v>42666.161542610163</v>
      </c>
      <c r="Z7" s="5">
        <v>390</v>
      </c>
      <c r="AA7" s="5">
        <v>150</v>
      </c>
      <c r="AB7" s="99">
        <f t="shared" si="7"/>
        <v>540</v>
      </c>
      <c r="AC7" s="8">
        <f t="shared" si="3"/>
        <v>42666.161542610163</v>
      </c>
      <c r="AD7" s="5">
        <v>390</v>
      </c>
      <c r="AE7" s="5">
        <v>150</v>
      </c>
      <c r="AF7" s="99">
        <f t="shared" si="8"/>
        <v>540</v>
      </c>
      <c r="AG7" s="8">
        <f t="shared" si="3"/>
        <v>42666.161542610163</v>
      </c>
      <c r="AH7" s="5">
        <v>390</v>
      </c>
      <c r="AI7" s="5">
        <v>150</v>
      </c>
      <c r="AJ7" s="99">
        <f t="shared" si="9"/>
        <v>540</v>
      </c>
      <c r="AK7" s="8">
        <f t="shared" si="3"/>
        <v>42666.161542610163</v>
      </c>
      <c r="AL7" s="5">
        <v>390</v>
      </c>
      <c r="AM7" s="5">
        <v>150</v>
      </c>
      <c r="AN7" s="99">
        <f t="shared" si="10"/>
        <v>540</v>
      </c>
      <c r="AO7" s="8">
        <f t="shared" si="3"/>
        <v>42666.161542610163</v>
      </c>
      <c r="AP7" s="5">
        <v>390</v>
      </c>
      <c r="AQ7" s="5">
        <v>150</v>
      </c>
      <c r="AR7" s="99">
        <f t="shared" si="11"/>
        <v>540</v>
      </c>
      <c r="AS7" s="8">
        <f t="shared" si="12"/>
        <v>42666.161542610163</v>
      </c>
      <c r="AT7" s="5">
        <v>390</v>
      </c>
      <c r="AU7" s="5">
        <v>150</v>
      </c>
      <c r="AV7" s="99">
        <f t="shared" si="13"/>
        <v>540</v>
      </c>
      <c r="AW7" s="8">
        <f t="shared" si="12"/>
        <v>42666.161542610163</v>
      </c>
      <c r="AX7" s="5">
        <v>390</v>
      </c>
      <c r="AY7" s="5">
        <v>150</v>
      </c>
      <c r="AZ7" s="99">
        <f t="shared" si="14"/>
        <v>540</v>
      </c>
      <c r="BA7" s="8">
        <f t="shared" si="12"/>
        <v>42666.161542610163</v>
      </c>
      <c r="BB7" s="5">
        <v>390</v>
      </c>
      <c r="BC7" s="5">
        <v>150</v>
      </c>
      <c r="BD7" s="99">
        <f t="shared" si="15"/>
        <v>540</v>
      </c>
      <c r="BE7" s="8">
        <f t="shared" si="12"/>
        <v>42666.161542610163</v>
      </c>
      <c r="BF7" s="5">
        <v>390</v>
      </c>
      <c r="BG7" s="5">
        <v>150</v>
      </c>
      <c r="BH7" s="99">
        <f t="shared" si="16"/>
        <v>540</v>
      </c>
      <c r="BI7" s="8">
        <f t="shared" si="12"/>
        <v>42666.161542610163</v>
      </c>
      <c r="BJ7" s="5">
        <v>390</v>
      </c>
      <c r="BK7" s="5">
        <v>150</v>
      </c>
      <c r="BL7" s="99">
        <f t="shared" si="17"/>
        <v>540</v>
      </c>
      <c r="BM7" s="8">
        <f t="shared" si="12"/>
        <v>42666.161542610163</v>
      </c>
      <c r="BN7" s="5">
        <v>390</v>
      </c>
      <c r="BO7" s="5">
        <v>150</v>
      </c>
      <c r="BP7" s="99">
        <f t="shared" si="18"/>
        <v>540</v>
      </c>
      <c r="BQ7" s="8">
        <f t="shared" si="12"/>
        <v>42666.161542610163</v>
      </c>
      <c r="BR7" s="5">
        <v>390</v>
      </c>
      <c r="BS7" s="5">
        <v>150</v>
      </c>
      <c r="BT7" s="99">
        <f t="shared" si="19"/>
        <v>540</v>
      </c>
      <c r="BU7" s="8">
        <f t="shared" ref="BU7" si="22">$E7*BT7</f>
        <v>42666.161542610163</v>
      </c>
    </row>
    <row r="8" spans="1:73" x14ac:dyDescent="0.35">
      <c r="A8" t="s">
        <v>140</v>
      </c>
      <c r="B8" t="s">
        <v>176</v>
      </c>
      <c r="D8" s="112" t="s">
        <v>641</v>
      </c>
      <c r="E8" s="100">
        <v>42.896027784829471</v>
      </c>
      <c r="F8" s="5">
        <v>840</v>
      </c>
      <c r="G8" s="5">
        <v>180</v>
      </c>
      <c r="H8" s="99">
        <f t="shared" si="0"/>
        <v>1020</v>
      </c>
      <c r="I8" s="8">
        <f t="shared" si="1"/>
        <v>43753.948340526062</v>
      </c>
      <c r="J8" s="5">
        <v>840</v>
      </c>
      <c r="K8" s="5">
        <v>180</v>
      </c>
      <c r="L8" s="99">
        <f t="shared" si="2"/>
        <v>1020</v>
      </c>
      <c r="M8" s="8">
        <f t="shared" si="3"/>
        <v>43753.948340526062</v>
      </c>
      <c r="N8" s="5">
        <v>840</v>
      </c>
      <c r="O8" s="5">
        <v>180</v>
      </c>
      <c r="P8" s="99">
        <f t="shared" si="4"/>
        <v>1020</v>
      </c>
      <c r="Q8" s="8">
        <f t="shared" si="3"/>
        <v>43753.948340526062</v>
      </c>
      <c r="R8" s="5">
        <v>840</v>
      </c>
      <c r="S8" s="5">
        <v>180</v>
      </c>
      <c r="T8" s="99">
        <f t="shared" si="5"/>
        <v>1020</v>
      </c>
      <c r="U8" s="8">
        <f t="shared" si="3"/>
        <v>43753.948340526062</v>
      </c>
      <c r="V8" s="5">
        <v>840</v>
      </c>
      <c r="W8" s="5">
        <v>180</v>
      </c>
      <c r="X8" s="99">
        <f t="shared" si="6"/>
        <v>1020</v>
      </c>
      <c r="Y8" s="8">
        <f t="shared" si="3"/>
        <v>43753.948340526062</v>
      </c>
      <c r="Z8" s="5">
        <v>840</v>
      </c>
      <c r="AA8" s="5">
        <v>180</v>
      </c>
      <c r="AB8" s="99">
        <f t="shared" si="7"/>
        <v>1020</v>
      </c>
      <c r="AC8" s="8">
        <f t="shared" si="3"/>
        <v>43753.948340526062</v>
      </c>
      <c r="AD8" s="5">
        <v>840</v>
      </c>
      <c r="AE8" s="5">
        <v>180</v>
      </c>
      <c r="AF8" s="99">
        <f t="shared" si="8"/>
        <v>1020</v>
      </c>
      <c r="AG8" s="8">
        <f t="shared" si="3"/>
        <v>43753.948340526062</v>
      </c>
      <c r="AH8" s="5">
        <v>840</v>
      </c>
      <c r="AI8" s="5">
        <v>180</v>
      </c>
      <c r="AJ8" s="99">
        <f t="shared" si="9"/>
        <v>1020</v>
      </c>
      <c r="AK8" s="8">
        <f t="shared" si="3"/>
        <v>43753.948340526062</v>
      </c>
      <c r="AL8" s="5">
        <v>840</v>
      </c>
      <c r="AM8" s="5">
        <v>180</v>
      </c>
      <c r="AN8" s="99">
        <f t="shared" si="10"/>
        <v>1020</v>
      </c>
      <c r="AO8" s="8">
        <f t="shared" si="3"/>
        <v>43753.948340526062</v>
      </c>
      <c r="AP8" s="5">
        <v>840</v>
      </c>
      <c r="AQ8" s="5">
        <v>180</v>
      </c>
      <c r="AR8" s="99">
        <f t="shared" si="11"/>
        <v>1020</v>
      </c>
      <c r="AS8" s="8">
        <f t="shared" si="12"/>
        <v>43753.948340526062</v>
      </c>
      <c r="AT8" s="5">
        <v>840</v>
      </c>
      <c r="AU8" s="5">
        <v>180</v>
      </c>
      <c r="AV8" s="99">
        <f t="shared" si="13"/>
        <v>1020</v>
      </c>
      <c r="AW8" s="8">
        <f t="shared" si="12"/>
        <v>43753.948340526062</v>
      </c>
      <c r="AX8" s="5">
        <v>840</v>
      </c>
      <c r="AY8" s="5">
        <v>180</v>
      </c>
      <c r="AZ8" s="99">
        <f t="shared" si="14"/>
        <v>1020</v>
      </c>
      <c r="BA8" s="8">
        <f t="shared" si="12"/>
        <v>43753.948340526062</v>
      </c>
      <c r="BB8" s="5">
        <v>840</v>
      </c>
      <c r="BC8" s="5">
        <v>180</v>
      </c>
      <c r="BD8" s="99">
        <f t="shared" si="15"/>
        <v>1020</v>
      </c>
      <c r="BE8" s="8">
        <f t="shared" si="12"/>
        <v>43753.948340526062</v>
      </c>
      <c r="BF8" s="5">
        <v>840</v>
      </c>
      <c r="BG8" s="5">
        <v>180</v>
      </c>
      <c r="BH8" s="99">
        <f t="shared" si="16"/>
        <v>1020</v>
      </c>
      <c r="BI8" s="8">
        <f t="shared" si="12"/>
        <v>43753.948340526062</v>
      </c>
      <c r="BJ8" s="5">
        <v>840</v>
      </c>
      <c r="BK8" s="5">
        <v>180</v>
      </c>
      <c r="BL8" s="99">
        <f t="shared" si="17"/>
        <v>1020</v>
      </c>
      <c r="BM8" s="8">
        <f t="shared" si="12"/>
        <v>43753.948340526062</v>
      </c>
      <c r="BN8" s="5">
        <v>840</v>
      </c>
      <c r="BO8" s="5">
        <v>180</v>
      </c>
      <c r="BP8" s="99">
        <f t="shared" si="18"/>
        <v>1020</v>
      </c>
      <c r="BQ8" s="8">
        <f t="shared" si="12"/>
        <v>43753.948340526062</v>
      </c>
      <c r="BR8" s="5">
        <v>840</v>
      </c>
      <c r="BS8" s="5">
        <v>180</v>
      </c>
      <c r="BT8" s="99">
        <f t="shared" si="19"/>
        <v>1020</v>
      </c>
      <c r="BU8" s="8">
        <f t="shared" ref="BU8" si="23">$E8*BT8</f>
        <v>43753.948340526062</v>
      </c>
    </row>
    <row r="9" spans="1:73" x14ac:dyDescent="0.35">
      <c r="A9" t="s">
        <v>142</v>
      </c>
      <c r="B9" t="s">
        <v>182</v>
      </c>
      <c r="D9" s="112" t="s">
        <v>642</v>
      </c>
      <c r="E9" s="100">
        <v>17.034090709137399</v>
      </c>
      <c r="F9" s="5">
        <v>1830</v>
      </c>
      <c r="G9" s="5">
        <v>0</v>
      </c>
      <c r="H9" s="99">
        <f t="shared" si="0"/>
        <v>1830</v>
      </c>
      <c r="I9" s="8">
        <f t="shared" si="1"/>
        <v>31172.385997721438</v>
      </c>
      <c r="J9" s="5">
        <v>1830</v>
      </c>
      <c r="K9" s="5">
        <v>0</v>
      </c>
      <c r="L9" s="99">
        <f t="shared" si="2"/>
        <v>1830</v>
      </c>
      <c r="M9" s="8">
        <f t="shared" si="3"/>
        <v>31172.385997721438</v>
      </c>
      <c r="N9" s="5">
        <v>1830</v>
      </c>
      <c r="O9" s="5">
        <v>0</v>
      </c>
      <c r="P9" s="99">
        <f t="shared" si="4"/>
        <v>1830</v>
      </c>
      <c r="Q9" s="8">
        <f t="shared" si="3"/>
        <v>31172.385997721438</v>
      </c>
      <c r="R9" s="5">
        <v>1830</v>
      </c>
      <c r="S9" s="5">
        <v>0</v>
      </c>
      <c r="T9" s="99">
        <f t="shared" si="5"/>
        <v>1830</v>
      </c>
      <c r="U9" s="8">
        <f t="shared" si="3"/>
        <v>31172.385997721438</v>
      </c>
      <c r="V9" s="5">
        <v>1830</v>
      </c>
      <c r="W9" s="5">
        <v>0</v>
      </c>
      <c r="X9" s="99">
        <f t="shared" si="6"/>
        <v>1830</v>
      </c>
      <c r="Y9" s="8">
        <f t="shared" si="3"/>
        <v>31172.385997721438</v>
      </c>
      <c r="Z9" s="5">
        <v>1830</v>
      </c>
      <c r="AA9" s="5">
        <v>0</v>
      </c>
      <c r="AB9" s="99">
        <f t="shared" si="7"/>
        <v>1830</v>
      </c>
      <c r="AC9" s="8">
        <f t="shared" si="3"/>
        <v>31172.385997721438</v>
      </c>
      <c r="AD9" s="5">
        <v>1830</v>
      </c>
      <c r="AE9" s="5">
        <v>0</v>
      </c>
      <c r="AF9" s="99">
        <f t="shared" si="8"/>
        <v>1830</v>
      </c>
      <c r="AG9" s="8">
        <f t="shared" si="3"/>
        <v>31172.385997721438</v>
      </c>
      <c r="AH9" s="5">
        <v>1830</v>
      </c>
      <c r="AI9" s="5">
        <v>0</v>
      </c>
      <c r="AJ9" s="99">
        <f t="shared" si="9"/>
        <v>1830</v>
      </c>
      <c r="AK9" s="8">
        <f t="shared" si="3"/>
        <v>31172.385997721438</v>
      </c>
      <c r="AL9" s="5">
        <v>1830</v>
      </c>
      <c r="AM9" s="5">
        <v>0</v>
      </c>
      <c r="AN9" s="99">
        <f t="shared" si="10"/>
        <v>1830</v>
      </c>
      <c r="AO9" s="8">
        <f t="shared" si="3"/>
        <v>31172.385997721438</v>
      </c>
      <c r="AP9" s="5">
        <v>1830</v>
      </c>
      <c r="AQ9" s="5">
        <v>0</v>
      </c>
      <c r="AR9" s="99">
        <f t="shared" si="11"/>
        <v>1830</v>
      </c>
      <c r="AS9" s="8">
        <f t="shared" si="12"/>
        <v>31172.385997721438</v>
      </c>
      <c r="AT9" s="5">
        <v>1830</v>
      </c>
      <c r="AU9" s="5">
        <v>0</v>
      </c>
      <c r="AV9" s="99">
        <f t="shared" si="13"/>
        <v>1830</v>
      </c>
      <c r="AW9" s="8">
        <f t="shared" si="12"/>
        <v>31172.385997721438</v>
      </c>
      <c r="AX9" s="5">
        <v>1830</v>
      </c>
      <c r="AY9" s="5">
        <v>0</v>
      </c>
      <c r="AZ9" s="99">
        <f t="shared" si="14"/>
        <v>1830</v>
      </c>
      <c r="BA9" s="8">
        <f t="shared" si="12"/>
        <v>31172.385997721438</v>
      </c>
      <c r="BB9" s="5">
        <v>1830</v>
      </c>
      <c r="BC9" s="5">
        <v>0</v>
      </c>
      <c r="BD9" s="99">
        <f t="shared" si="15"/>
        <v>1830</v>
      </c>
      <c r="BE9" s="8">
        <f t="shared" si="12"/>
        <v>31172.385997721438</v>
      </c>
      <c r="BF9" s="5">
        <v>1830</v>
      </c>
      <c r="BG9" s="5">
        <v>0</v>
      </c>
      <c r="BH9" s="99">
        <f t="shared" si="16"/>
        <v>1830</v>
      </c>
      <c r="BI9" s="8">
        <f t="shared" si="12"/>
        <v>31172.385997721438</v>
      </c>
      <c r="BJ9" s="5">
        <v>1830</v>
      </c>
      <c r="BK9" s="5">
        <v>0</v>
      </c>
      <c r="BL9" s="99">
        <f t="shared" si="17"/>
        <v>1830</v>
      </c>
      <c r="BM9" s="8">
        <f t="shared" si="12"/>
        <v>31172.385997721438</v>
      </c>
      <c r="BN9" s="5">
        <v>1830</v>
      </c>
      <c r="BO9" s="5">
        <v>0</v>
      </c>
      <c r="BP9" s="99">
        <f t="shared" si="18"/>
        <v>1830</v>
      </c>
      <c r="BQ9" s="8">
        <f t="shared" si="12"/>
        <v>31172.385997721438</v>
      </c>
      <c r="BR9" s="5">
        <v>1830</v>
      </c>
      <c r="BS9" s="5">
        <v>0</v>
      </c>
      <c r="BT9" s="99">
        <f t="shared" si="19"/>
        <v>1830</v>
      </c>
      <c r="BU9" s="8">
        <f t="shared" ref="BU9" si="24">$E9*BT9</f>
        <v>31172.385997721438</v>
      </c>
    </row>
    <row r="10" spans="1:73" x14ac:dyDescent="0.35">
      <c r="A10" t="s">
        <v>141</v>
      </c>
      <c r="B10" t="s">
        <v>182</v>
      </c>
      <c r="D10" s="112" t="s">
        <v>644</v>
      </c>
      <c r="E10" s="100">
        <v>0</v>
      </c>
      <c r="F10" s="5">
        <v>0</v>
      </c>
      <c r="G10" s="5">
        <v>0</v>
      </c>
      <c r="H10" s="99">
        <f t="shared" si="0"/>
        <v>0</v>
      </c>
      <c r="I10" s="8">
        <f t="shared" si="1"/>
        <v>0</v>
      </c>
      <c r="J10" s="5">
        <v>0</v>
      </c>
      <c r="K10" s="5">
        <v>0</v>
      </c>
      <c r="L10" s="99">
        <f t="shared" si="2"/>
        <v>0</v>
      </c>
      <c r="M10" s="8">
        <f t="shared" si="3"/>
        <v>0</v>
      </c>
      <c r="N10" s="5">
        <v>0</v>
      </c>
      <c r="O10" s="5">
        <v>0</v>
      </c>
      <c r="P10" s="99">
        <f t="shared" si="4"/>
        <v>0</v>
      </c>
      <c r="Q10" s="8">
        <f t="shared" si="3"/>
        <v>0</v>
      </c>
      <c r="R10" s="5">
        <v>0</v>
      </c>
      <c r="S10" s="5">
        <v>0</v>
      </c>
      <c r="T10" s="99">
        <f t="shared" si="5"/>
        <v>0</v>
      </c>
      <c r="U10" s="8">
        <f t="shared" si="3"/>
        <v>0</v>
      </c>
      <c r="V10" s="5">
        <v>0</v>
      </c>
      <c r="W10" s="5">
        <v>0</v>
      </c>
      <c r="X10" s="99">
        <f t="shared" si="6"/>
        <v>0</v>
      </c>
      <c r="Y10" s="8">
        <f t="shared" si="3"/>
        <v>0</v>
      </c>
      <c r="Z10" s="5">
        <v>0</v>
      </c>
      <c r="AA10" s="5">
        <v>0</v>
      </c>
      <c r="AB10" s="99">
        <f t="shared" si="7"/>
        <v>0</v>
      </c>
      <c r="AC10" s="8">
        <f t="shared" si="3"/>
        <v>0</v>
      </c>
      <c r="AD10" s="5">
        <v>0</v>
      </c>
      <c r="AE10" s="5">
        <v>0</v>
      </c>
      <c r="AF10" s="99">
        <f t="shared" si="8"/>
        <v>0</v>
      </c>
      <c r="AG10" s="8">
        <f t="shared" si="3"/>
        <v>0</v>
      </c>
      <c r="AH10" s="5">
        <v>0</v>
      </c>
      <c r="AI10" s="5">
        <v>0</v>
      </c>
      <c r="AJ10" s="99">
        <f t="shared" si="9"/>
        <v>0</v>
      </c>
      <c r="AK10" s="8">
        <f t="shared" si="3"/>
        <v>0</v>
      </c>
      <c r="AL10" s="5">
        <v>0</v>
      </c>
      <c r="AM10" s="5">
        <v>0</v>
      </c>
      <c r="AN10" s="99">
        <f t="shared" si="10"/>
        <v>0</v>
      </c>
      <c r="AO10" s="8">
        <f t="shared" si="3"/>
        <v>0</v>
      </c>
      <c r="AP10" s="5">
        <v>0</v>
      </c>
      <c r="AQ10" s="5">
        <v>0</v>
      </c>
      <c r="AR10" s="99">
        <f t="shared" si="11"/>
        <v>0</v>
      </c>
      <c r="AS10" s="8">
        <f t="shared" si="12"/>
        <v>0</v>
      </c>
      <c r="AT10" s="5">
        <v>0</v>
      </c>
      <c r="AU10" s="5">
        <v>0</v>
      </c>
      <c r="AV10" s="99">
        <f t="shared" si="13"/>
        <v>0</v>
      </c>
      <c r="AW10" s="8">
        <f t="shared" si="12"/>
        <v>0</v>
      </c>
      <c r="AX10" s="5">
        <v>0</v>
      </c>
      <c r="AY10" s="5">
        <v>0</v>
      </c>
      <c r="AZ10" s="99">
        <f t="shared" si="14"/>
        <v>0</v>
      </c>
      <c r="BA10" s="8">
        <f t="shared" si="12"/>
        <v>0</v>
      </c>
      <c r="BB10" s="5">
        <v>0</v>
      </c>
      <c r="BC10" s="5">
        <v>0</v>
      </c>
      <c r="BD10" s="99">
        <f t="shared" si="15"/>
        <v>0</v>
      </c>
      <c r="BE10" s="8">
        <f t="shared" si="12"/>
        <v>0</v>
      </c>
      <c r="BF10" s="5">
        <v>0</v>
      </c>
      <c r="BG10" s="5">
        <v>0</v>
      </c>
      <c r="BH10" s="99">
        <f t="shared" si="16"/>
        <v>0</v>
      </c>
      <c r="BI10" s="8">
        <f t="shared" si="12"/>
        <v>0</v>
      </c>
      <c r="BJ10" s="5">
        <v>0</v>
      </c>
      <c r="BK10" s="5">
        <v>0</v>
      </c>
      <c r="BL10" s="99">
        <f t="shared" si="17"/>
        <v>0</v>
      </c>
      <c r="BM10" s="8">
        <f t="shared" si="12"/>
        <v>0</v>
      </c>
      <c r="BN10" s="5">
        <v>0</v>
      </c>
      <c r="BO10" s="5">
        <v>0</v>
      </c>
      <c r="BP10" s="99">
        <f t="shared" si="18"/>
        <v>0</v>
      </c>
      <c r="BQ10" s="8">
        <f t="shared" si="12"/>
        <v>0</v>
      </c>
      <c r="BR10" s="5">
        <v>0</v>
      </c>
      <c r="BS10" s="5">
        <v>0</v>
      </c>
      <c r="BT10" s="99">
        <f t="shared" si="19"/>
        <v>0</v>
      </c>
      <c r="BU10" s="8">
        <f t="shared" ref="BU10" si="25">$E10*BT10</f>
        <v>0</v>
      </c>
    </row>
    <row r="11" spans="1:73" x14ac:dyDescent="0.35">
      <c r="F11" s="202">
        <f t="shared" ref="F11:AK11" si="26">SUM(F5:F10)</f>
        <v>7800</v>
      </c>
      <c r="G11" s="202">
        <f t="shared" si="26"/>
        <v>1260</v>
      </c>
      <c r="H11" s="202">
        <f t="shared" si="26"/>
        <v>9060</v>
      </c>
      <c r="I11" s="202">
        <f t="shared" si="26"/>
        <v>238933.23848920636</v>
      </c>
      <c r="J11" s="202">
        <f t="shared" si="26"/>
        <v>7800</v>
      </c>
      <c r="K11" s="202">
        <f t="shared" si="26"/>
        <v>1260</v>
      </c>
      <c r="L11" s="202">
        <f t="shared" si="26"/>
        <v>9060</v>
      </c>
      <c r="M11" s="202">
        <f t="shared" si="26"/>
        <v>238933.23848920636</v>
      </c>
      <c r="N11" s="202">
        <f t="shared" si="26"/>
        <v>7800</v>
      </c>
      <c r="O11" s="202">
        <f t="shared" si="26"/>
        <v>1260</v>
      </c>
      <c r="P11" s="202">
        <f t="shared" si="26"/>
        <v>9060</v>
      </c>
      <c r="Q11" s="202">
        <f t="shared" si="26"/>
        <v>238933.23848920636</v>
      </c>
      <c r="R11" s="202">
        <f t="shared" si="26"/>
        <v>6590</v>
      </c>
      <c r="S11" s="202">
        <f t="shared" si="26"/>
        <v>1260</v>
      </c>
      <c r="T11" s="202">
        <f t="shared" si="26"/>
        <v>7850</v>
      </c>
      <c r="U11" s="202">
        <f t="shared" si="26"/>
        <v>209263.71612821554</v>
      </c>
      <c r="V11" s="202">
        <f t="shared" si="26"/>
        <v>7800</v>
      </c>
      <c r="W11" s="202">
        <f t="shared" si="26"/>
        <v>1260</v>
      </c>
      <c r="X11" s="202">
        <f t="shared" si="26"/>
        <v>9060</v>
      </c>
      <c r="Y11" s="202">
        <f t="shared" si="26"/>
        <v>238933.23848920636</v>
      </c>
      <c r="Z11" s="202">
        <f t="shared" si="26"/>
        <v>7800</v>
      </c>
      <c r="AA11" s="202">
        <f t="shared" si="26"/>
        <v>1260</v>
      </c>
      <c r="AB11" s="202">
        <f t="shared" si="26"/>
        <v>9060</v>
      </c>
      <c r="AC11" s="202">
        <f t="shared" si="26"/>
        <v>238933.23848920636</v>
      </c>
      <c r="AD11" s="202">
        <f t="shared" si="26"/>
        <v>7800</v>
      </c>
      <c r="AE11" s="202">
        <f t="shared" si="26"/>
        <v>1260</v>
      </c>
      <c r="AF11" s="202">
        <f t="shared" si="26"/>
        <v>9060</v>
      </c>
      <c r="AG11" s="202">
        <f t="shared" si="26"/>
        <v>238933.23848920636</v>
      </c>
      <c r="AH11" s="202">
        <f t="shared" si="26"/>
        <v>7800</v>
      </c>
      <c r="AI11" s="202">
        <f t="shared" si="26"/>
        <v>1260</v>
      </c>
      <c r="AJ11" s="202">
        <f t="shared" si="26"/>
        <v>9060</v>
      </c>
      <c r="AK11" s="202">
        <f t="shared" si="26"/>
        <v>238933.23848920636</v>
      </c>
      <c r="AL11" s="202">
        <f t="shared" ref="AL11:BQ11" si="27">SUM(AL5:AL10)</f>
        <v>7800</v>
      </c>
      <c r="AM11" s="202">
        <f t="shared" si="27"/>
        <v>1260</v>
      </c>
      <c r="AN11" s="202">
        <f t="shared" si="27"/>
        <v>9060</v>
      </c>
      <c r="AO11" s="202">
        <f t="shared" si="27"/>
        <v>238933.23848920636</v>
      </c>
      <c r="AP11" s="202">
        <f t="shared" si="27"/>
        <v>7800</v>
      </c>
      <c r="AQ11" s="202">
        <f t="shared" si="27"/>
        <v>1260</v>
      </c>
      <c r="AR11" s="202">
        <f t="shared" si="27"/>
        <v>9060</v>
      </c>
      <c r="AS11" s="202">
        <f t="shared" si="27"/>
        <v>238933.23848920636</v>
      </c>
      <c r="AT11" s="202">
        <f t="shared" si="27"/>
        <v>7800</v>
      </c>
      <c r="AU11" s="202">
        <f t="shared" si="27"/>
        <v>1260</v>
      </c>
      <c r="AV11" s="202">
        <f t="shared" si="27"/>
        <v>9060</v>
      </c>
      <c r="AW11" s="202">
        <f t="shared" si="27"/>
        <v>238933.23848920636</v>
      </c>
      <c r="AX11" s="202">
        <f t="shared" si="27"/>
        <v>7800</v>
      </c>
      <c r="AY11" s="202">
        <f t="shared" si="27"/>
        <v>1260</v>
      </c>
      <c r="AZ11" s="202">
        <f t="shared" si="27"/>
        <v>9060</v>
      </c>
      <c r="BA11" s="202">
        <f t="shared" si="27"/>
        <v>238933.23848920636</v>
      </c>
      <c r="BB11" s="202">
        <f t="shared" si="27"/>
        <v>7800</v>
      </c>
      <c r="BC11" s="202">
        <f t="shared" si="27"/>
        <v>1260</v>
      </c>
      <c r="BD11" s="202">
        <f t="shared" si="27"/>
        <v>9060</v>
      </c>
      <c r="BE11" s="202">
        <f t="shared" si="27"/>
        <v>238933.23848920636</v>
      </c>
      <c r="BF11" s="202">
        <f t="shared" si="27"/>
        <v>7800</v>
      </c>
      <c r="BG11" s="202">
        <f t="shared" si="27"/>
        <v>1260</v>
      </c>
      <c r="BH11" s="202">
        <f t="shared" si="27"/>
        <v>9060</v>
      </c>
      <c r="BI11" s="202">
        <f t="shared" si="27"/>
        <v>238933.23848920636</v>
      </c>
      <c r="BJ11" s="202">
        <f t="shared" si="27"/>
        <v>7800</v>
      </c>
      <c r="BK11" s="202">
        <f t="shared" si="27"/>
        <v>1260</v>
      </c>
      <c r="BL11" s="202">
        <f t="shared" si="27"/>
        <v>9060</v>
      </c>
      <c r="BM11" s="202">
        <f t="shared" si="27"/>
        <v>238933.23848920636</v>
      </c>
      <c r="BN11" s="202">
        <f t="shared" si="27"/>
        <v>7800</v>
      </c>
      <c r="BO11" s="202">
        <f t="shared" si="27"/>
        <v>1260</v>
      </c>
      <c r="BP11" s="202">
        <f t="shared" si="27"/>
        <v>9060</v>
      </c>
      <c r="BQ11" s="202">
        <f t="shared" si="27"/>
        <v>238933.23848920636</v>
      </c>
      <c r="BR11" s="202">
        <f t="shared" ref="BR11:BU11" si="28">SUM(BR5:BR10)</f>
        <v>7800</v>
      </c>
      <c r="BS11" s="202">
        <f t="shared" si="28"/>
        <v>1260</v>
      </c>
      <c r="BT11" s="202">
        <f t="shared" si="28"/>
        <v>9060</v>
      </c>
      <c r="BU11" s="202">
        <f t="shared" si="28"/>
        <v>238933.23848920636</v>
      </c>
    </row>
    <row r="13" spans="1:73" x14ac:dyDescent="0.35">
      <c r="AB13" s="205"/>
    </row>
  </sheetData>
  <mergeCells count="17">
    <mergeCell ref="AT3:AW3"/>
    <mergeCell ref="BR3:BU3"/>
    <mergeCell ref="BN3:BQ3"/>
    <mergeCell ref="F3:I3"/>
    <mergeCell ref="J3:M3"/>
    <mergeCell ref="N3:Q3"/>
    <mergeCell ref="R3:U3"/>
    <mergeCell ref="V3:Y3"/>
    <mergeCell ref="Z3:AC3"/>
    <mergeCell ref="AX3:BA3"/>
    <mergeCell ref="BB3:BE3"/>
    <mergeCell ref="BF3:BI3"/>
    <mergeCell ref="BJ3:BM3"/>
    <mergeCell ref="AD3:AG3"/>
    <mergeCell ref="AH3:AK3"/>
    <mergeCell ref="AL3:AO3"/>
    <mergeCell ref="AP3:AS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44"/>
  <sheetViews>
    <sheetView showGridLines="0" zoomScaleNormal="100" workbookViewId="0">
      <selection activeCell="D51" sqref="D51"/>
    </sheetView>
  </sheetViews>
  <sheetFormatPr defaultColWidth="8.6328125" defaultRowHeight="14.5" x14ac:dyDescent="0.35"/>
  <cols>
    <col min="1" max="1" width="3" customWidth="1"/>
    <col min="2" max="2" width="29.26953125" customWidth="1"/>
    <col min="3" max="3" width="7.7265625" customWidth="1"/>
    <col min="4" max="4" width="7.1796875" customWidth="1"/>
    <col min="5" max="5" width="10.36328125" customWidth="1"/>
    <col min="6" max="6" width="9.81640625" customWidth="1"/>
    <col min="7" max="7" width="6.54296875" customWidth="1"/>
    <col min="8" max="8" width="20.26953125" customWidth="1"/>
    <col min="9" max="9" width="6.08984375" customWidth="1"/>
  </cols>
  <sheetData>
    <row r="1" spans="2:9" ht="24" customHeight="1" x14ac:dyDescent="0.35">
      <c r="B1" s="230" t="s">
        <v>287</v>
      </c>
      <c r="C1" s="230"/>
      <c r="D1" s="230"/>
      <c r="E1" s="230"/>
      <c r="F1" s="230"/>
      <c r="G1" s="230"/>
      <c r="H1" s="230"/>
      <c r="I1" s="230"/>
    </row>
    <row r="3" spans="2:9" ht="18" customHeight="1" x14ac:dyDescent="0.35">
      <c r="B3" s="229" t="s">
        <v>288</v>
      </c>
      <c r="C3" s="229"/>
      <c r="D3" s="229"/>
      <c r="E3" s="229"/>
      <c r="F3" s="229"/>
      <c r="G3" s="229"/>
      <c r="H3" s="229"/>
      <c r="I3" s="229"/>
    </row>
    <row r="4" spans="2:9" ht="15.75" customHeight="1" x14ac:dyDescent="0.35">
      <c r="B4" s="19" t="s">
        <v>289</v>
      </c>
      <c r="C4" s="19" t="s">
        <v>290</v>
      </c>
      <c r="D4" s="19" t="s">
        <v>291</v>
      </c>
      <c r="E4" s="19" t="s">
        <v>292</v>
      </c>
      <c r="F4" s="19" t="s">
        <v>1</v>
      </c>
      <c r="G4" s="19" t="s">
        <v>148</v>
      </c>
      <c r="H4" s="19" t="s">
        <v>293</v>
      </c>
      <c r="I4" s="19" t="s">
        <v>294</v>
      </c>
    </row>
    <row r="5" spans="2:9" ht="15" customHeight="1" x14ac:dyDescent="0.35">
      <c r="B5" s="234" t="s">
        <v>295</v>
      </c>
      <c r="C5" s="234"/>
      <c r="D5" s="234"/>
      <c r="E5" s="234"/>
      <c r="F5" s="234"/>
      <c r="G5" s="234"/>
      <c r="H5" s="234"/>
      <c r="I5" s="234"/>
    </row>
    <row r="6" spans="2:9" ht="15" customHeight="1" x14ac:dyDescent="0.35">
      <c r="B6" s="15" t="s">
        <v>296</v>
      </c>
      <c r="C6" s="45" t="s">
        <v>78</v>
      </c>
      <c r="D6" s="46">
        <v>2</v>
      </c>
      <c r="E6" s="45"/>
      <c r="F6" s="47">
        <f>IF(C6="Outsource",IF(E6&lt;&gt;"",E6,D6),IF(C6="In-house",D6,IF(C6="Logistics",D6,0)))</f>
        <v>2</v>
      </c>
      <c r="G6" s="48" t="s">
        <v>297</v>
      </c>
      <c r="H6" s="49" t="s">
        <v>298</v>
      </c>
    </row>
    <row r="7" spans="2:9" ht="15" customHeight="1" x14ac:dyDescent="0.35">
      <c r="B7" s="20" t="s">
        <v>299</v>
      </c>
      <c r="C7" s="45" t="s">
        <v>78</v>
      </c>
      <c r="D7" s="46">
        <v>5</v>
      </c>
      <c r="E7" s="45"/>
      <c r="F7" s="47">
        <f>IF(C7="Outsource",IF(E7&lt;&gt;"",E7,D7),IF(C7="In-house",D7,IF(C7="Logistics",D7,0)))</f>
        <v>5</v>
      </c>
      <c r="G7" s="48" t="s">
        <v>300</v>
      </c>
      <c r="H7" s="49" t="s">
        <v>301</v>
      </c>
    </row>
    <row r="8" spans="2:9" ht="15" customHeight="1" x14ac:dyDescent="0.35">
      <c r="B8" s="234" t="s">
        <v>302</v>
      </c>
      <c r="C8" s="234"/>
      <c r="D8" s="234"/>
      <c r="E8" s="234"/>
      <c r="F8" s="234"/>
      <c r="G8" s="234"/>
      <c r="H8" s="234"/>
      <c r="I8" s="234"/>
    </row>
    <row r="9" spans="2:9" ht="15" customHeight="1" x14ac:dyDescent="0.35">
      <c r="B9" s="20" t="s">
        <v>303</v>
      </c>
      <c r="C9" s="45" t="s">
        <v>81</v>
      </c>
      <c r="D9" s="46">
        <v>35</v>
      </c>
      <c r="E9" s="45">
        <v>35</v>
      </c>
      <c r="F9" s="47">
        <f t="shared" ref="F9:F21" si="0">IF(C9="Outsource",IF(E9&lt;&gt;"",E9,D9),IF(C9="In-house",D9,IF(C9="Logistics",D9,0)))</f>
        <v>35</v>
      </c>
      <c r="G9" s="48" t="s">
        <v>300</v>
      </c>
      <c r="H9" s="49" t="s">
        <v>304</v>
      </c>
    </row>
    <row r="10" spans="2:9" ht="15" customHeight="1" x14ac:dyDescent="0.35">
      <c r="B10" s="15" t="s">
        <v>305</v>
      </c>
      <c r="C10" s="45" t="s">
        <v>306</v>
      </c>
      <c r="D10" s="46">
        <v>1</v>
      </c>
      <c r="E10" s="45">
        <v>1</v>
      </c>
      <c r="F10" s="47">
        <f t="shared" si="0"/>
        <v>1</v>
      </c>
      <c r="G10" s="48" t="s">
        <v>300</v>
      </c>
      <c r="H10" s="49"/>
    </row>
    <row r="11" spans="2:9" ht="15" customHeight="1" x14ac:dyDescent="0.35">
      <c r="B11" s="20" t="s">
        <v>307</v>
      </c>
      <c r="C11" s="45" t="s">
        <v>78</v>
      </c>
      <c r="D11" s="46">
        <v>1</v>
      </c>
      <c r="E11" s="45">
        <v>2</v>
      </c>
      <c r="F11" s="47">
        <f t="shared" si="0"/>
        <v>1</v>
      </c>
      <c r="G11" s="48" t="s">
        <v>300</v>
      </c>
      <c r="H11" s="49" t="s">
        <v>308</v>
      </c>
    </row>
    <row r="12" spans="2:9" ht="15" customHeight="1" x14ac:dyDescent="0.35">
      <c r="B12" s="15" t="s">
        <v>309</v>
      </c>
      <c r="C12" s="45" t="s">
        <v>78</v>
      </c>
      <c r="D12" s="46">
        <v>1</v>
      </c>
      <c r="E12" s="45">
        <v>2</v>
      </c>
      <c r="F12" s="47">
        <f t="shared" si="0"/>
        <v>1</v>
      </c>
      <c r="G12" s="48" t="s">
        <v>300</v>
      </c>
      <c r="H12" s="49" t="s">
        <v>310</v>
      </c>
    </row>
    <row r="13" spans="2:9" ht="15" customHeight="1" x14ac:dyDescent="0.35">
      <c r="B13" s="20" t="s">
        <v>311</v>
      </c>
      <c r="C13" s="45" t="s">
        <v>78</v>
      </c>
      <c r="D13" s="46">
        <v>1</v>
      </c>
      <c r="E13" s="45">
        <v>1</v>
      </c>
      <c r="F13" s="47">
        <f t="shared" si="0"/>
        <v>1</v>
      </c>
      <c r="G13" s="48" t="s">
        <v>300</v>
      </c>
      <c r="H13" s="49"/>
    </row>
    <row r="14" spans="2:9" ht="15" customHeight="1" x14ac:dyDescent="0.35">
      <c r="B14" s="15" t="s">
        <v>312</v>
      </c>
      <c r="C14" s="45" t="s">
        <v>78</v>
      </c>
      <c r="D14" s="46">
        <v>1</v>
      </c>
      <c r="E14" s="45">
        <v>1</v>
      </c>
      <c r="F14" s="47">
        <f t="shared" si="0"/>
        <v>1</v>
      </c>
      <c r="G14" s="48" t="s">
        <v>300</v>
      </c>
      <c r="H14" s="49"/>
    </row>
    <row r="15" spans="2:9" ht="15" customHeight="1" x14ac:dyDescent="0.35">
      <c r="B15" s="20" t="s">
        <v>313</v>
      </c>
      <c r="C15" s="45" t="s">
        <v>81</v>
      </c>
      <c r="D15" s="46">
        <v>40</v>
      </c>
      <c r="E15" s="45">
        <v>14</v>
      </c>
      <c r="F15" s="47">
        <f t="shared" si="0"/>
        <v>14</v>
      </c>
      <c r="G15" s="48" t="s">
        <v>300</v>
      </c>
      <c r="H15" s="49" t="s">
        <v>314</v>
      </c>
    </row>
    <row r="16" spans="2:9" ht="15" customHeight="1" x14ac:dyDescent="0.35">
      <c r="B16" s="15" t="s">
        <v>315</v>
      </c>
      <c r="C16" s="45" t="s">
        <v>306</v>
      </c>
      <c r="D16" s="46">
        <v>0</v>
      </c>
      <c r="E16" s="45">
        <v>1</v>
      </c>
      <c r="F16" s="47">
        <f t="shared" si="0"/>
        <v>0</v>
      </c>
      <c r="G16" s="48" t="s">
        <v>300</v>
      </c>
      <c r="H16" s="49" t="s">
        <v>316</v>
      </c>
    </row>
    <row r="17" spans="2:9" ht="15" customHeight="1" x14ac:dyDescent="0.35">
      <c r="B17" s="20" t="s">
        <v>317</v>
      </c>
      <c r="C17" s="45" t="s">
        <v>81</v>
      </c>
      <c r="D17" s="46">
        <v>35</v>
      </c>
      <c r="E17" s="45">
        <v>35</v>
      </c>
      <c r="F17" s="47">
        <f t="shared" si="0"/>
        <v>35</v>
      </c>
      <c r="G17" s="48" t="s">
        <v>300</v>
      </c>
      <c r="H17" s="49" t="s">
        <v>318</v>
      </c>
    </row>
    <row r="18" spans="2:9" ht="15" customHeight="1" x14ac:dyDescent="0.35">
      <c r="B18" s="15" t="s">
        <v>319</v>
      </c>
      <c r="C18" s="45" t="s">
        <v>306</v>
      </c>
      <c r="D18" s="46">
        <v>1</v>
      </c>
      <c r="E18" s="45">
        <v>1</v>
      </c>
      <c r="F18" s="47">
        <f t="shared" si="0"/>
        <v>1</v>
      </c>
      <c r="G18" s="48" t="s">
        <v>300</v>
      </c>
      <c r="H18" s="49"/>
    </row>
    <row r="19" spans="2:9" ht="15" customHeight="1" x14ac:dyDescent="0.35">
      <c r="B19" s="20" t="s">
        <v>320</v>
      </c>
      <c r="C19" s="45" t="s">
        <v>78</v>
      </c>
      <c r="D19" s="46">
        <v>2</v>
      </c>
      <c r="E19" s="45">
        <v>5</v>
      </c>
      <c r="F19" s="47">
        <f t="shared" si="0"/>
        <v>2</v>
      </c>
      <c r="G19" s="48" t="s">
        <v>300</v>
      </c>
      <c r="H19" s="49" t="s">
        <v>321</v>
      </c>
    </row>
    <row r="20" spans="2:9" ht="15" customHeight="1" x14ac:dyDescent="0.35">
      <c r="B20" s="15" t="s">
        <v>322</v>
      </c>
      <c r="C20" s="45" t="s">
        <v>78</v>
      </c>
      <c r="D20" s="46">
        <v>1</v>
      </c>
      <c r="E20" s="45">
        <v>2</v>
      </c>
      <c r="F20" s="47">
        <f t="shared" si="0"/>
        <v>1</v>
      </c>
      <c r="G20" s="48" t="s">
        <v>300</v>
      </c>
      <c r="H20" s="49"/>
    </row>
    <row r="21" spans="2:9" ht="15" customHeight="1" x14ac:dyDescent="0.35">
      <c r="B21" s="20" t="s">
        <v>323</v>
      </c>
      <c r="C21" s="45" t="s">
        <v>78</v>
      </c>
      <c r="D21" s="46">
        <v>1</v>
      </c>
      <c r="E21" s="45">
        <v>2</v>
      </c>
      <c r="F21" s="47">
        <f t="shared" si="0"/>
        <v>1</v>
      </c>
      <c r="G21" s="48" t="s">
        <v>300</v>
      </c>
      <c r="H21" s="49"/>
    </row>
    <row r="22" spans="2:9" ht="15" customHeight="1" x14ac:dyDescent="0.35">
      <c r="B22" s="234" t="s">
        <v>324</v>
      </c>
      <c r="C22" s="234"/>
      <c r="D22" s="234"/>
      <c r="E22" s="234"/>
      <c r="F22" s="234"/>
      <c r="G22" s="234"/>
      <c r="H22" s="234"/>
      <c r="I22" s="234"/>
    </row>
    <row r="23" spans="2:9" ht="15" customHeight="1" x14ac:dyDescent="0.35">
      <c r="B23" s="20" t="s">
        <v>325</v>
      </c>
      <c r="C23" s="45" t="s">
        <v>81</v>
      </c>
      <c r="D23" s="46">
        <v>7</v>
      </c>
      <c r="E23" s="45">
        <v>7</v>
      </c>
      <c r="F23" s="47">
        <f>IF(C23="Outsource",IF(E23&lt;&gt;"",E23,D23),IF(C23="In-house",D23,IF(C23="Logistics",D23,0)))</f>
        <v>7</v>
      </c>
      <c r="G23" s="48" t="s">
        <v>300</v>
      </c>
      <c r="H23" s="49" t="s">
        <v>326</v>
      </c>
    </row>
    <row r="24" spans="2:9" ht="15" customHeight="1" x14ac:dyDescent="0.35">
      <c r="B24" s="15" t="s">
        <v>327</v>
      </c>
      <c r="C24" s="45" t="s">
        <v>306</v>
      </c>
      <c r="D24" s="46">
        <v>6</v>
      </c>
      <c r="E24" s="45">
        <v>6</v>
      </c>
      <c r="F24" s="47">
        <f>IF(C24="Outsource",IF(E24&lt;&gt;"",E24,D24),IF(C24="In-house",D24,IF(C24="Logistics",D24,0)))</f>
        <v>6</v>
      </c>
      <c r="G24" s="48" t="s">
        <v>300</v>
      </c>
      <c r="H24" s="49" t="s">
        <v>328</v>
      </c>
    </row>
    <row r="25" spans="2:9" ht="15" customHeight="1" x14ac:dyDescent="0.35">
      <c r="B25" s="20" t="s">
        <v>329</v>
      </c>
      <c r="C25" s="45" t="s">
        <v>81</v>
      </c>
      <c r="D25" s="46">
        <v>7</v>
      </c>
      <c r="E25" s="45">
        <v>10</v>
      </c>
      <c r="F25" s="47">
        <f>IF(C25="Outsource",IF(E25&lt;&gt;"",E25,D25),IF(C25="In-house",D25,IF(C25="Logistics",D25,0)))</f>
        <v>10</v>
      </c>
      <c r="G25" s="48" t="s">
        <v>300</v>
      </c>
      <c r="H25" s="49" t="s">
        <v>330</v>
      </c>
    </row>
    <row r="26" spans="2:9" ht="15" customHeight="1" x14ac:dyDescent="0.35">
      <c r="B26" s="15" t="s">
        <v>331</v>
      </c>
      <c r="C26" s="45" t="s">
        <v>78</v>
      </c>
      <c r="D26" s="46">
        <v>3</v>
      </c>
      <c r="E26" s="45">
        <v>3</v>
      </c>
      <c r="F26" s="47">
        <f>IF(C26="Outsource",IF(E26&lt;&gt;"",E26,D26),IF(C26="In-house",D26,IF(C26="Logistics",D26,0)))</f>
        <v>3</v>
      </c>
      <c r="G26" s="48" t="s">
        <v>300</v>
      </c>
      <c r="H26" s="49"/>
    </row>
    <row r="27" spans="2:9" ht="15" customHeight="1" x14ac:dyDescent="0.35">
      <c r="B27" s="234" t="s">
        <v>332</v>
      </c>
      <c r="C27" s="234"/>
      <c r="D27" s="234"/>
      <c r="E27" s="234"/>
      <c r="F27" s="234"/>
      <c r="G27" s="234"/>
      <c r="H27" s="234"/>
      <c r="I27" s="234"/>
    </row>
    <row r="28" spans="2:9" ht="15" customHeight="1" x14ac:dyDescent="0.35">
      <c r="B28" s="15" t="s">
        <v>333</v>
      </c>
      <c r="C28" s="45" t="s">
        <v>81</v>
      </c>
      <c r="D28" s="46">
        <v>84</v>
      </c>
      <c r="E28" s="45">
        <v>84</v>
      </c>
      <c r="F28" s="47">
        <f>IF(C28="Outsource",IF(E28&lt;&gt;"",E28,D28),IF(C28="In-house",D28,IF(C28="Logistics",D28,0)))</f>
        <v>84</v>
      </c>
      <c r="G28" s="48" t="s">
        <v>300</v>
      </c>
      <c r="H28" s="49" t="s">
        <v>334</v>
      </c>
    </row>
    <row r="29" spans="2:9" ht="15" customHeight="1" x14ac:dyDescent="0.35">
      <c r="B29" s="20" t="s">
        <v>335</v>
      </c>
      <c r="C29" s="45" t="s">
        <v>81</v>
      </c>
      <c r="D29" s="46">
        <v>60</v>
      </c>
      <c r="E29" s="45">
        <v>60</v>
      </c>
      <c r="F29" s="47">
        <f>IF(C29="Outsource",IF(E29&lt;&gt;"",E29,D29),IF(C29="In-house",D29,IF(C29="Logistics",D29,0)))</f>
        <v>60</v>
      </c>
      <c r="G29" s="48" t="s">
        <v>300</v>
      </c>
      <c r="H29" s="49" t="s">
        <v>336</v>
      </c>
    </row>
    <row r="30" spans="2:9" ht="15" customHeight="1" x14ac:dyDescent="0.35">
      <c r="B30" s="15" t="s">
        <v>337</v>
      </c>
      <c r="C30" s="45" t="s">
        <v>81</v>
      </c>
      <c r="D30" s="46">
        <v>84</v>
      </c>
      <c r="E30" s="45">
        <v>84</v>
      </c>
      <c r="F30" s="47">
        <f>IF(C30="Outsource",IF(E30&lt;&gt;"",E30,D30),IF(C30="In-house",D30,IF(C30="Logistics",D30,0)))</f>
        <v>84</v>
      </c>
      <c r="G30" s="48" t="s">
        <v>300</v>
      </c>
      <c r="H30" s="49" t="s">
        <v>338</v>
      </c>
    </row>
    <row r="31" spans="2:9" ht="15" customHeight="1" x14ac:dyDescent="0.35">
      <c r="B31" s="20" t="s">
        <v>339</v>
      </c>
      <c r="C31" s="45" t="s">
        <v>81</v>
      </c>
      <c r="D31" s="46">
        <v>30</v>
      </c>
      <c r="E31" s="45">
        <v>60</v>
      </c>
      <c r="F31" s="47">
        <f>IF(C31="Outsource",IF(E31&lt;&gt;"",E31,D31),IF(C31="In-house",D31,IF(C31="Logistics",D31,0)))</f>
        <v>60</v>
      </c>
      <c r="G31" s="48" t="s">
        <v>300</v>
      </c>
      <c r="H31" s="49"/>
    </row>
    <row r="32" spans="2:9" ht="15" customHeight="1" x14ac:dyDescent="0.35">
      <c r="B32" s="15" t="s">
        <v>340</v>
      </c>
      <c r="C32" s="45" t="s">
        <v>81</v>
      </c>
      <c r="D32" s="46">
        <v>60</v>
      </c>
      <c r="E32" s="45">
        <v>60</v>
      </c>
      <c r="F32" s="47">
        <f>IF(C32="Outsource",IF(E32&lt;&gt;"",E32,D32),IF(C32="In-house",D32,IF(C32="Logistics",D32,0)))</f>
        <v>60</v>
      </c>
      <c r="G32" s="48" t="s">
        <v>300</v>
      </c>
      <c r="H32" s="49" t="s">
        <v>341</v>
      </c>
    </row>
    <row r="33" spans="2:9" ht="15" customHeight="1" x14ac:dyDescent="0.35">
      <c r="B33" s="234" t="s">
        <v>342</v>
      </c>
      <c r="C33" s="234"/>
      <c r="D33" s="234"/>
      <c r="E33" s="234"/>
      <c r="F33" s="234"/>
      <c r="G33" s="234"/>
      <c r="H33" s="234"/>
      <c r="I33" s="234"/>
    </row>
    <row r="34" spans="2:9" ht="15" customHeight="1" x14ac:dyDescent="0.35">
      <c r="B34" s="15" t="s">
        <v>343</v>
      </c>
      <c r="C34" s="45" t="s">
        <v>81</v>
      </c>
      <c r="D34" s="46">
        <v>14</v>
      </c>
      <c r="E34" s="45">
        <v>14</v>
      </c>
      <c r="F34" s="47">
        <f>IF(C34="Outsource",IF(E34&lt;&gt;"",E34,D34),IF(C34="In-house",D34,IF(C34="Logistics",D34,0)))</f>
        <v>14</v>
      </c>
      <c r="G34" s="48" t="s">
        <v>300</v>
      </c>
      <c r="H34" s="49" t="s">
        <v>344</v>
      </c>
    </row>
    <row r="35" spans="2:9" ht="15" customHeight="1" x14ac:dyDescent="0.35">
      <c r="B35" s="20" t="s">
        <v>345</v>
      </c>
      <c r="C35" s="45" t="s">
        <v>306</v>
      </c>
      <c r="D35" s="46">
        <v>2</v>
      </c>
      <c r="E35" s="45">
        <v>2</v>
      </c>
      <c r="F35" s="47">
        <f>IF(C35="Outsource",IF(E35&lt;&gt;"",E35,D35),IF(C35="In-house",D35,IF(C35="Logistics",D35,0)))</f>
        <v>2</v>
      </c>
      <c r="G35" s="48" t="s">
        <v>300</v>
      </c>
      <c r="H35" s="49"/>
    </row>
    <row r="36" spans="2:9" ht="15" customHeight="1" x14ac:dyDescent="0.35">
      <c r="B36" s="234" t="s">
        <v>346</v>
      </c>
      <c r="C36" s="234"/>
      <c r="D36" s="234"/>
      <c r="E36" s="234"/>
      <c r="F36" s="234"/>
      <c r="G36" s="234"/>
      <c r="H36" s="234"/>
      <c r="I36" s="234"/>
    </row>
    <row r="37" spans="2:9" ht="15" customHeight="1" x14ac:dyDescent="0.35">
      <c r="B37" s="20" t="s">
        <v>347</v>
      </c>
      <c r="C37" s="45" t="s">
        <v>78</v>
      </c>
      <c r="D37" s="46">
        <v>3</v>
      </c>
      <c r="E37" s="45">
        <v>4</v>
      </c>
      <c r="F37" s="47">
        <f>IF(C37="Outsource",IF(E37&lt;&gt;"",E37,D37),IF(C37="In-house",D37,IF(C37="Logistics",D37,0)))</f>
        <v>3</v>
      </c>
      <c r="G37" s="48" t="s">
        <v>300</v>
      </c>
      <c r="H37" s="49"/>
    </row>
    <row r="38" spans="2:9" ht="15" customHeight="1" x14ac:dyDescent="0.35">
      <c r="B38" s="15" t="s">
        <v>348</v>
      </c>
      <c r="C38" s="45" t="s">
        <v>78</v>
      </c>
      <c r="D38" s="46">
        <v>3</v>
      </c>
      <c r="E38" s="45">
        <v>4</v>
      </c>
      <c r="F38" s="47">
        <f>IF(C38="Outsource",IF(E38&lt;&gt;"",E38,D38),IF(C38="In-house",D38,IF(C38="Logistics",D38,0)))</f>
        <v>3</v>
      </c>
      <c r="G38" s="48" t="s">
        <v>300</v>
      </c>
      <c r="H38" s="49"/>
    </row>
    <row r="39" spans="2:9" ht="15" customHeight="1" x14ac:dyDescent="0.35">
      <c r="B39" s="20" t="s">
        <v>349</v>
      </c>
      <c r="C39" s="45" t="s">
        <v>4</v>
      </c>
      <c r="D39" s="46">
        <v>5</v>
      </c>
      <c r="E39" s="45">
        <v>5</v>
      </c>
      <c r="F39" s="47">
        <f>IF(C39="Outsource",IF(E39&lt;&gt;"",E39,D39),IF(C39="In-house",D39,IF(C39="Logistics",D39,0)))</f>
        <v>0</v>
      </c>
      <c r="G39" s="48" t="s">
        <v>300</v>
      </c>
      <c r="H39" s="49" t="s">
        <v>350</v>
      </c>
    </row>
    <row r="41" spans="2:9" ht="21.75" customHeight="1" x14ac:dyDescent="0.35">
      <c r="B41" s="236" t="s">
        <v>351</v>
      </c>
      <c r="C41" s="236"/>
      <c r="D41" s="236"/>
      <c r="E41" s="236"/>
      <c r="F41" s="50">
        <f>MAX(F28:F32)+F6+F7+F23+F24+F25+F26+F34+F35+F37+F38+F39</f>
        <v>139</v>
      </c>
      <c r="G41" s="51" t="s">
        <v>352</v>
      </c>
    </row>
    <row r="42" spans="2:9" ht="19.5" customHeight="1" x14ac:dyDescent="0.35">
      <c r="B42" s="237" t="s">
        <v>353</v>
      </c>
      <c r="C42" s="237"/>
      <c r="D42" s="237"/>
      <c r="E42" s="237"/>
      <c r="F42" s="52">
        <f>F41/7*'Cost Rate Tables'!C9</f>
        <v>23.828571428571429</v>
      </c>
    </row>
    <row r="44" spans="2:9" ht="36" customHeight="1" x14ac:dyDescent="0.35">
      <c r="B44" s="235" t="s">
        <v>354</v>
      </c>
      <c r="C44" s="235"/>
      <c r="D44" s="235"/>
      <c r="E44" s="235"/>
      <c r="F44" s="235"/>
      <c r="G44" s="235"/>
      <c r="H44" s="235"/>
      <c r="I44" s="235"/>
    </row>
  </sheetData>
  <mergeCells count="11">
    <mergeCell ref="B44:I44"/>
    <mergeCell ref="B27:I27"/>
    <mergeCell ref="B33:I33"/>
    <mergeCell ref="B36:I36"/>
    <mergeCell ref="B41:E41"/>
    <mergeCell ref="B42:E42"/>
    <mergeCell ref="B1:I1"/>
    <mergeCell ref="B3:I3"/>
    <mergeCell ref="B5:I5"/>
    <mergeCell ref="B8:I8"/>
    <mergeCell ref="B22:I22"/>
  </mergeCells>
  <dataValidations count="1">
    <dataValidation type="list" sqref="C6:C7 C9:C21 C23:C26 C28:C32 C34:C35 C37:C39" xr:uid="{00000000-0002-0000-0700-000000000000}">
      <formula1>"In-house,Outsource,Logistics,—"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84"/>
  <sheetViews>
    <sheetView showGridLines="0" zoomScaleNormal="100" workbookViewId="0">
      <selection activeCell="B1" sqref="B1:K1"/>
    </sheetView>
  </sheetViews>
  <sheetFormatPr defaultColWidth="8.6328125" defaultRowHeight="14.5" x14ac:dyDescent="0.35"/>
  <cols>
    <col min="1" max="1" width="2" customWidth="1"/>
    <col min="2" max="2" width="41.6328125" customWidth="1"/>
    <col min="3" max="3" width="6.453125" customWidth="1"/>
    <col min="4" max="4" width="11.36328125" customWidth="1"/>
    <col min="5" max="5" width="12.54296875" customWidth="1"/>
    <col min="6" max="6" width="15.08984375" customWidth="1"/>
    <col min="7" max="7" width="14.1796875" customWidth="1"/>
    <col min="8" max="8" width="9" customWidth="1"/>
    <col min="9" max="9" width="13.36328125" customWidth="1"/>
    <col min="10" max="10" width="8.90625" customWidth="1"/>
    <col min="11" max="11" width="20" customWidth="1"/>
  </cols>
  <sheetData>
    <row r="1" spans="2:11" ht="27.75" customHeight="1" x14ac:dyDescent="0.35">
      <c r="B1" s="238" t="s">
        <v>355</v>
      </c>
      <c r="C1" s="238"/>
      <c r="D1" s="238"/>
      <c r="E1" s="238"/>
      <c r="F1" s="238"/>
      <c r="G1" s="238"/>
      <c r="H1" s="238"/>
      <c r="I1" s="238"/>
      <c r="J1" s="238"/>
      <c r="K1" s="238"/>
    </row>
    <row r="2" spans="2:11" ht="18" customHeight="1" x14ac:dyDescent="0.35">
      <c r="B2" s="239" t="s">
        <v>356</v>
      </c>
      <c r="C2" s="239"/>
      <c r="D2" s="239"/>
      <c r="E2" s="239"/>
      <c r="F2" s="239"/>
      <c r="G2" s="239"/>
      <c r="H2" s="239"/>
      <c r="I2" s="239"/>
      <c r="J2" s="239"/>
      <c r="K2" s="239"/>
    </row>
    <row r="4" spans="2:11" ht="21.75" customHeight="1" x14ac:dyDescent="0.35">
      <c r="B4" s="53" t="s">
        <v>357</v>
      </c>
      <c r="C4" s="19" t="s">
        <v>1</v>
      </c>
      <c r="D4" s="54" t="s">
        <v>358</v>
      </c>
      <c r="E4" s="54" t="s">
        <v>359</v>
      </c>
      <c r="F4" s="54" t="s">
        <v>179</v>
      </c>
      <c r="G4" s="54" t="s">
        <v>360</v>
      </c>
      <c r="H4" s="54" t="s">
        <v>361</v>
      </c>
      <c r="I4" s="54" t="s">
        <v>85</v>
      </c>
      <c r="J4" s="54" t="s">
        <v>362</v>
      </c>
    </row>
    <row r="5" spans="2:11" ht="15.75" customHeight="1" x14ac:dyDescent="0.35">
      <c r="B5" s="240" t="s">
        <v>363</v>
      </c>
      <c r="C5" s="240"/>
      <c r="D5" s="240"/>
      <c r="E5" s="240"/>
      <c r="F5" s="240"/>
      <c r="G5" s="240"/>
      <c r="H5" s="240"/>
      <c r="I5" s="240"/>
      <c r="J5" s="240"/>
      <c r="K5" s="240"/>
    </row>
    <row r="6" spans="2:11" ht="15" customHeight="1" x14ac:dyDescent="0.35">
      <c r="B6" s="55" t="s">
        <v>364</v>
      </c>
      <c r="C6" s="56" t="s">
        <v>300</v>
      </c>
      <c r="D6" s="57">
        <v>300</v>
      </c>
      <c r="E6" s="57">
        <v>300</v>
      </c>
      <c r="F6" s="57">
        <v>300</v>
      </c>
      <c r="G6" s="57">
        <v>300</v>
      </c>
      <c r="H6" s="57">
        <v>300</v>
      </c>
      <c r="I6" s="57">
        <v>300</v>
      </c>
      <c r="J6" s="57">
        <v>250</v>
      </c>
    </row>
    <row r="7" spans="2:11" ht="15" customHeight="1" x14ac:dyDescent="0.35">
      <c r="B7" s="55" t="s">
        <v>365</v>
      </c>
      <c r="C7" s="56" t="s">
        <v>366</v>
      </c>
      <c r="D7" s="57">
        <v>2</v>
      </c>
      <c r="E7" s="57">
        <v>2</v>
      </c>
      <c r="F7" s="57">
        <v>2</v>
      </c>
      <c r="G7" s="57">
        <v>2</v>
      </c>
      <c r="H7" s="57">
        <v>1</v>
      </c>
      <c r="I7" s="57">
        <v>1</v>
      </c>
      <c r="J7" s="57">
        <v>1</v>
      </c>
    </row>
    <row r="8" spans="2:11" ht="15" customHeight="1" x14ac:dyDescent="0.35">
      <c r="B8" s="55" t="s">
        <v>367</v>
      </c>
      <c r="C8" s="56" t="s">
        <v>368</v>
      </c>
      <c r="D8" s="57">
        <v>8</v>
      </c>
      <c r="E8" s="57">
        <v>8</v>
      </c>
      <c r="F8" s="57">
        <v>8</v>
      </c>
      <c r="G8" s="57">
        <v>8</v>
      </c>
      <c r="H8" s="57">
        <v>8</v>
      </c>
      <c r="I8" s="57">
        <v>8</v>
      </c>
      <c r="J8" s="57">
        <v>8</v>
      </c>
    </row>
    <row r="9" spans="2:11" ht="15" customHeight="1" x14ac:dyDescent="0.35">
      <c r="B9" s="58" t="s">
        <v>369</v>
      </c>
      <c r="C9" s="59" t="s">
        <v>370</v>
      </c>
      <c r="D9" s="60">
        <f t="shared" ref="D9:J9" si="0">D6*D7*D8</f>
        <v>4800</v>
      </c>
      <c r="E9" s="60">
        <f t="shared" si="0"/>
        <v>4800</v>
      </c>
      <c r="F9" s="60">
        <f t="shared" si="0"/>
        <v>4800</v>
      </c>
      <c r="G9" s="60">
        <f t="shared" si="0"/>
        <v>4800</v>
      </c>
      <c r="H9" s="60">
        <f t="shared" si="0"/>
        <v>2400</v>
      </c>
      <c r="I9" s="60">
        <f t="shared" si="0"/>
        <v>2400</v>
      </c>
      <c r="J9" s="60">
        <f t="shared" si="0"/>
        <v>2000</v>
      </c>
    </row>
    <row r="10" spans="2:11" ht="15" customHeight="1" x14ac:dyDescent="0.35">
      <c r="B10" s="55" t="s">
        <v>371</v>
      </c>
      <c r="C10" s="56" t="s">
        <v>124</v>
      </c>
      <c r="D10" s="61">
        <v>0.75</v>
      </c>
      <c r="E10" s="61">
        <v>0.7</v>
      </c>
      <c r="F10" s="61">
        <v>0.8</v>
      </c>
      <c r="G10" s="61">
        <v>0.7</v>
      </c>
      <c r="H10" s="61">
        <v>0.75</v>
      </c>
      <c r="I10" s="61">
        <v>0.65</v>
      </c>
      <c r="J10" s="61">
        <v>0.85</v>
      </c>
    </row>
    <row r="11" spans="2:11" ht="15" customHeight="1" x14ac:dyDescent="0.35">
      <c r="B11" s="58" t="s">
        <v>372</v>
      </c>
      <c r="C11" s="59" t="s">
        <v>370</v>
      </c>
      <c r="D11" s="60">
        <f t="shared" ref="D11:J11" si="1">D9*D10</f>
        <v>3600</v>
      </c>
      <c r="E11" s="60">
        <f t="shared" si="1"/>
        <v>3360</v>
      </c>
      <c r="F11" s="60">
        <f t="shared" si="1"/>
        <v>3840</v>
      </c>
      <c r="G11" s="60">
        <f t="shared" si="1"/>
        <v>3360</v>
      </c>
      <c r="H11" s="60">
        <f t="shared" si="1"/>
        <v>1800</v>
      </c>
      <c r="I11" s="60">
        <f t="shared" si="1"/>
        <v>1560</v>
      </c>
      <c r="J11" s="60">
        <f t="shared" si="1"/>
        <v>1700</v>
      </c>
    </row>
    <row r="13" spans="2:11" ht="15.75" customHeight="1" x14ac:dyDescent="0.35">
      <c r="B13" s="240" t="s">
        <v>373</v>
      </c>
      <c r="C13" s="240"/>
      <c r="D13" s="240"/>
      <c r="E13" s="240"/>
      <c r="F13" s="240"/>
      <c r="G13" s="240"/>
      <c r="H13" s="240"/>
      <c r="I13" s="240"/>
      <c r="J13" s="240"/>
      <c r="K13" s="240"/>
    </row>
    <row r="14" spans="2:11" ht="15" customHeight="1" x14ac:dyDescent="0.35">
      <c r="B14" s="55" t="s">
        <v>374</v>
      </c>
      <c r="C14" s="56" t="s">
        <v>37</v>
      </c>
      <c r="D14" s="62">
        <v>4500000</v>
      </c>
      <c r="E14" s="62">
        <v>6500000</v>
      </c>
      <c r="F14" s="62">
        <v>1200000</v>
      </c>
      <c r="G14" s="62">
        <v>1800000</v>
      </c>
      <c r="H14" s="62">
        <v>500000</v>
      </c>
      <c r="I14" s="62">
        <v>900000</v>
      </c>
      <c r="J14" s="62">
        <v>0</v>
      </c>
    </row>
    <row r="15" spans="2:11" ht="15" customHeight="1" x14ac:dyDescent="0.35">
      <c r="B15" s="55" t="s">
        <v>375</v>
      </c>
      <c r="C15" s="56" t="s">
        <v>376</v>
      </c>
      <c r="D15" s="57">
        <v>10</v>
      </c>
      <c r="E15" s="57">
        <v>15</v>
      </c>
      <c r="F15" s="57">
        <v>10</v>
      </c>
      <c r="G15" s="57">
        <v>10</v>
      </c>
      <c r="H15" s="57">
        <v>7</v>
      </c>
      <c r="I15" s="57">
        <v>7</v>
      </c>
      <c r="J15" s="57">
        <v>0</v>
      </c>
    </row>
    <row r="16" spans="2:11" ht="15" customHeight="1" x14ac:dyDescent="0.35">
      <c r="B16" s="55" t="s">
        <v>377</v>
      </c>
      <c r="C16" s="56" t="s">
        <v>124</v>
      </c>
      <c r="D16" s="61">
        <v>0.1</v>
      </c>
      <c r="E16" s="61">
        <v>0.1</v>
      </c>
      <c r="F16" s="61">
        <v>0.1</v>
      </c>
      <c r="G16" s="61">
        <v>0.1</v>
      </c>
      <c r="H16" s="61">
        <v>0.1</v>
      </c>
      <c r="I16" s="61">
        <v>0.1</v>
      </c>
      <c r="J16" s="61">
        <v>0.1</v>
      </c>
    </row>
    <row r="17" spans="2:11" ht="15" customHeight="1" x14ac:dyDescent="0.35">
      <c r="B17" s="63" t="s">
        <v>378</v>
      </c>
      <c r="C17" s="59" t="s">
        <v>379</v>
      </c>
      <c r="D17" s="17">
        <f t="shared" ref="D17:J17" si="2">IF(D15&gt;0,D14*(1-D16)/D15,0)</f>
        <v>405000</v>
      </c>
      <c r="E17" s="17">
        <f t="shared" si="2"/>
        <v>390000</v>
      </c>
      <c r="F17" s="17">
        <f t="shared" si="2"/>
        <v>108000</v>
      </c>
      <c r="G17" s="17">
        <f t="shared" si="2"/>
        <v>162000</v>
      </c>
      <c r="H17" s="17">
        <f t="shared" si="2"/>
        <v>64285.714285714283</v>
      </c>
      <c r="I17" s="17">
        <f t="shared" si="2"/>
        <v>115714.28571428571</v>
      </c>
      <c r="J17" s="17">
        <f t="shared" si="2"/>
        <v>0</v>
      </c>
    </row>
    <row r="18" spans="2:11" ht="15" customHeight="1" x14ac:dyDescent="0.35">
      <c r="B18" s="55" t="s">
        <v>380</v>
      </c>
      <c r="C18" s="56" t="s">
        <v>381</v>
      </c>
      <c r="D18" s="64">
        <v>18.5</v>
      </c>
      <c r="E18" s="64">
        <v>22</v>
      </c>
      <c r="F18" s="64">
        <v>5</v>
      </c>
      <c r="G18" s="64">
        <v>7.5</v>
      </c>
      <c r="H18" s="64">
        <v>0</v>
      </c>
      <c r="I18" s="64">
        <v>2.2000000000000002</v>
      </c>
      <c r="J18" s="64">
        <v>0</v>
      </c>
    </row>
    <row r="19" spans="2:11" ht="15" customHeight="1" x14ac:dyDescent="0.35">
      <c r="B19" s="55" t="s">
        <v>382</v>
      </c>
      <c r="C19" s="56" t="s">
        <v>124</v>
      </c>
      <c r="D19" s="61">
        <v>0.7</v>
      </c>
      <c r="E19" s="61">
        <v>0.65</v>
      </c>
      <c r="F19" s="61">
        <v>0.85</v>
      </c>
      <c r="G19" s="61">
        <v>0.72</v>
      </c>
      <c r="H19" s="61">
        <v>0.5</v>
      </c>
      <c r="I19" s="61">
        <v>0.55000000000000004</v>
      </c>
      <c r="J19" s="61">
        <v>0</v>
      </c>
    </row>
    <row r="20" spans="2:11" ht="15" customHeight="1" x14ac:dyDescent="0.35">
      <c r="B20" s="55" t="s">
        <v>383</v>
      </c>
      <c r="C20" s="56" t="s">
        <v>384</v>
      </c>
      <c r="D20" s="64">
        <v>8.5</v>
      </c>
      <c r="E20" s="64">
        <v>8.5</v>
      </c>
      <c r="F20" s="64">
        <v>8.5</v>
      </c>
      <c r="G20" s="64">
        <v>8.5</v>
      </c>
      <c r="H20" s="64">
        <v>8.5</v>
      </c>
      <c r="I20" s="64">
        <v>8.5</v>
      </c>
      <c r="J20" s="64">
        <v>8.5</v>
      </c>
    </row>
    <row r="21" spans="2:11" ht="15" customHeight="1" x14ac:dyDescent="0.35">
      <c r="B21" s="63" t="s">
        <v>385</v>
      </c>
      <c r="C21" s="59" t="s">
        <v>379</v>
      </c>
      <c r="D21" s="17">
        <f t="shared" ref="D21:J21" si="3">D18*D19*D20*D9</f>
        <v>528360</v>
      </c>
      <c r="E21" s="17">
        <f t="shared" si="3"/>
        <v>583440</v>
      </c>
      <c r="F21" s="17">
        <f t="shared" si="3"/>
        <v>173400</v>
      </c>
      <c r="G21" s="17">
        <f t="shared" si="3"/>
        <v>220320</v>
      </c>
      <c r="H21" s="17">
        <f t="shared" si="3"/>
        <v>0</v>
      </c>
      <c r="I21" s="17">
        <f t="shared" si="3"/>
        <v>24684.000000000004</v>
      </c>
      <c r="J21" s="17">
        <f t="shared" si="3"/>
        <v>0</v>
      </c>
    </row>
    <row r="22" spans="2:11" ht="15" customHeight="1" x14ac:dyDescent="0.35">
      <c r="B22" s="55" t="s">
        <v>386</v>
      </c>
      <c r="C22" s="56" t="s">
        <v>124</v>
      </c>
      <c r="D22" s="61">
        <v>0.05</v>
      </c>
      <c r="E22" s="61">
        <v>0.04</v>
      </c>
      <c r="F22" s="61">
        <v>0.06</v>
      </c>
      <c r="G22" s="61">
        <v>0.05</v>
      </c>
      <c r="H22" s="61">
        <v>0.03</v>
      </c>
      <c r="I22" s="61">
        <v>0.04</v>
      </c>
      <c r="J22" s="61">
        <v>0.02</v>
      </c>
    </row>
    <row r="23" spans="2:11" ht="15" customHeight="1" x14ac:dyDescent="0.35">
      <c r="B23" s="63" t="s">
        <v>387</v>
      </c>
      <c r="C23" s="59" t="s">
        <v>379</v>
      </c>
      <c r="D23" s="17">
        <f t="shared" ref="D23:J23" si="4">D14*D22</f>
        <v>225000</v>
      </c>
      <c r="E23" s="17">
        <f t="shared" si="4"/>
        <v>260000</v>
      </c>
      <c r="F23" s="17">
        <f t="shared" si="4"/>
        <v>72000</v>
      </c>
      <c r="G23" s="17">
        <f t="shared" si="4"/>
        <v>90000</v>
      </c>
      <c r="H23" s="17">
        <f t="shared" si="4"/>
        <v>15000</v>
      </c>
      <c r="I23" s="17">
        <f t="shared" si="4"/>
        <v>36000</v>
      </c>
      <c r="J23" s="17">
        <f t="shared" si="4"/>
        <v>0</v>
      </c>
    </row>
    <row r="24" spans="2:11" ht="15" customHeight="1" x14ac:dyDescent="0.35">
      <c r="B24" s="55" t="s">
        <v>388</v>
      </c>
      <c r="C24" s="56" t="s">
        <v>379</v>
      </c>
      <c r="D24" s="62">
        <v>240000</v>
      </c>
      <c r="E24" s="62">
        <v>96000</v>
      </c>
      <c r="F24" s="62">
        <v>180000</v>
      </c>
      <c r="G24" s="62">
        <v>120000</v>
      </c>
      <c r="H24" s="62">
        <v>48000</v>
      </c>
      <c r="I24" s="62">
        <v>96000</v>
      </c>
      <c r="J24" s="62">
        <v>0</v>
      </c>
    </row>
    <row r="25" spans="2:11" ht="15" customHeight="1" x14ac:dyDescent="0.35">
      <c r="B25" s="55" t="s">
        <v>389</v>
      </c>
      <c r="C25" s="56" t="s">
        <v>68</v>
      </c>
      <c r="D25" s="57">
        <v>40</v>
      </c>
      <c r="E25" s="57">
        <v>80</v>
      </c>
      <c r="F25" s="57">
        <v>20</v>
      </c>
      <c r="G25" s="57">
        <v>25</v>
      </c>
      <c r="H25" s="57">
        <v>60</v>
      </c>
      <c r="I25" s="57">
        <v>50</v>
      </c>
      <c r="J25" s="57">
        <v>20</v>
      </c>
    </row>
    <row r="26" spans="2:11" ht="15" customHeight="1" x14ac:dyDescent="0.35">
      <c r="B26" s="55" t="s">
        <v>390</v>
      </c>
      <c r="C26" s="56" t="s">
        <v>70</v>
      </c>
      <c r="D26" s="57">
        <v>45</v>
      </c>
      <c r="E26" s="57">
        <v>45</v>
      </c>
      <c r="F26" s="57">
        <v>45</v>
      </c>
      <c r="G26" s="57">
        <v>45</v>
      </c>
      <c r="H26" s="57">
        <v>45</v>
      </c>
      <c r="I26" s="57">
        <v>45</v>
      </c>
      <c r="J26" s="57">
        <v>45</v>
      </c>
    </row>
    <row r="27" spans="2:11" ht="15" customHeight="1" x14ac:dyDescent="0.35">
      <c r="B27" s="63" t="s">
        <v>391</v>
      </c>
      <c r="C27" s="59" t="s">
        <v>379</v>
      </c>
      <c r="D27" s="17">
        <f t="shared" ref="D27:J27" si="5">D25*D26*12</f>
        <v>21600</v>
      </c>
      <c r="E27" s="17">
        <f t="shared" si="5"/>
        <v>43200</v>
      </c>
      <c r="F27" s="17">
        <f t="shared" si="5"/>
        <v>10800</v>
      </c>
      <c r="G27" s="17">
        <f t="shared" si="5"/>
        <v>13500</v>
      </c>
      <c r="H27" s="17">
        <f t="shared" si="5"/>
        <v>32400</v>
      </c>
      <c r="I27" s="17">
        <f t="shared" si="5"/>
        <v>27000</v>
      </c>
      <c r="J27" s="17">
        <f t="shared" si="5"/>
        <v>10800</v>
      </c>
    </row>
    <row r="28" spans="2:11" ht="15" customHeight="1" x14ac:dyDescent="0.35">
      <c r="B28" s="55" t="s">
        <v>392</v>
      </c>
      <c r="C28" s="56" t="s">
        <v>379</v>
      </c>
      <c r="D28" s="62">
        <v>18000</v>
      </c>
      <c r="E28" s="62">
        <v>24000</v>
      </c>
      <c r="F28" s="62">
        <v>8000</v>
      </c>
      <c r="G28" s="62">
        <v>10000</v>
      </c>
      <c r="H28" s="62">
        <v>5000</v>
      </c>
      <c r="I28" s="62">
        <v>6000</v>
      </c>
      <c r="J28" s="62">
        <v>0</v>
      </c>
    </row>
    <row r="29" spans="2:11" ht="15" customHeight="1" x14ac:dyDescent="0.35">
      <c r="B29" s="55" t="s">
        <v>393</v>
      </c>
      <c r="C29" s="56" t="s">
        <v>379</v>
      </c>
      <c r="D29" s="62">
        <v>360000</v>
      </c>
      <c r="E29" s="62">
        <v>480000</v>
      </c>
      <c r="F29" s="62">
        <v>180000</v>
      </c>
      <c r="G29" s="62">
        <v>240000</v>
      </c>
      <c r="H29" s="62">
        <v>120000</v>
      </c>
      <c r="I29" s="62">
        <v>180000</v>
      </c>
      <c r="J29" s="62">
        <v>120000</v>
      </c>
    </row>
    <row r="31" spans="2:11" ht="15" customHeight="1" x14ac:dyDescent="0.35">
      <c r="B31" s="241" t="s">
        <v>394</v>
      </c>
      <c r="C31" s="241"/>
      <c r="D31" s="241"/>
      <c r="E31" s="241"/>
      <c r="F31" s="241"/>
      <c r="G31" s="241"/>
      <c r="H31" s="241"/>
      <c r="I31" s="241"/>
      <c r="J31" s="241"/>
      <c r="K31" s="241"/>
    </row>
    <row r="32" spans="2:11" ht="18" customHeight="1" x14ac:dyDescent="0.35">
      <c r="B32" s="18" t="s">
        <v>395</v>
      </c>
      <c r="C32" s="65" t="s">
        <v>379</v>
      </c>
      <c r="D32" s="66">
        <f t="shared" ref="D32:J32" si="6">D17+D21+D23+D24+D27+D28+D29</f>
        <v>1797960</v>
      </c>
      <c r="E32" s="66">
        <f t="shared" si="6"/>
        <v>1876640</v>
      </c>
      <c r="F32" s="66">
        <f t="shared" si="6"/>
        <v>732200</v>
      </c>
      <c r="G32" s="66">
        <f t="shared" si="6"/>
        <v>855820</v>
      </c>
      <c r="H32" s="66">
        <f t="shared" si="6"/>
        <v>284685.71428571432</v>
      </c>
      <c r="I32" s="66">
        <f t="shared" si="6"/>
        <v>485398.28571428568</v>
      </c>
      <c r="J32" s="66">
        <f t="shared" si="6"/>
        <v>130800</v>
      </c>
    </row>
    <row r="34" spans="2:11" ht="15.75" customHeight="1" x14ac:dyDescent="0.35">
      <c r="B34" s="240" t="s">
        <v>396</v>
      </c>
      <c r="C34" s="240"/>
      <c r="D34" s="240"/>
      <c r="E34" s="240"/>
      <c r="F34" s="240"/>
      <c r="G34" s="240"/>
      <c r="H34" s="240"/>
      <c r="I34" s="240"/>
      <c r="J34" s="240"/>
      <c r="K34" s="240"/>
    </row>
    <row r="35" spans="2:11" ht="15" customHeight="1" x14ac:dyDescent="0.35">
      <c r="B35" s="55" t="s">
        <v>397</v>
      </c>
      <c r="C35" s="56" t="s">
        <v>8</v>
      </c>
      <c r="D35" s="57">
        <v>1</v>
      </c>
      <c r="E35" s="57">
        <v>1</v>
      </c>
      <c r="F35" s="57">
        <v>1</v>
      </c>
      <c r="G35" s="57">
        <v>1</v>
      </c>
      <c r="H35" s="57">
        <v>2</v>
      </c>
      <c r="I35" s="57">
        <v>1</v>
      </c>
      <c r="J35" s="57">
        <v>0</v>
      </c>
    </row>
    <row r="36" spans="2:11" ht="15" customHeight="1" x14ac:dyDescent="0.35">
      <c r="B36" s="55" t="s">
        <v>398</v>
      </c>
      <c r="C36" s="56" t="s">
        <v>399</v>
      </c>
      <c r="D36" s="62">
        <v>28000</v>
      </c>
      <c r="E36" s="62">
        <v>32000</v>
      </c>
      <c r="F36" s="62">
        <v>35000</v>
      </c>
      <c r="G36" s="62">
        <v>30000</v>
      </c>
      <c r="H36" s="62">
        <v>25000</v>
      </c>
      <c r="I36" s="62">
        <v>25000</v>
      </c>
      <c r="J36" s="62">
        <v>0</v>
      </c>
    </row>
    <row r="37" spans="2:11" ht="15" customHeight="1" x14ac:dyDescent="0.35">
      <c r="B37" s="63" t="s">
        <v>400</v>
      </c>
      <c r="C37" s="59" t="s">
        <v>379</v>
      </c>
      <c r="D37" s="17">
        <f t="shared" ref="D37:J37" si="7">D35*D36*13.5</f>
        <v>378000</v>
      </c>
      <c r="E37" s="17">
        <f t="shared" si="7"/>
        <v>432000</v>
      </c>
      <c r="F37" s="17">
        <f t="shared" si="7"/>
        <v>472500</v>
      </c>
      <c r="G37" s="17">
        <f t="shared" si="7"/>
        <v>405000</v>
      </c>
      <c r="H37" s="17">
        <f t="shared" si="7"/>
        <v>675000</v>
      </c>
      <c r="I37" s="17">
        <f t="shared" si="7"/>
        <v>337500</v>
      </c>
      <c r="J37" s="17">
        <f t="shared" si="7"/>
        <v>0</v>
      </c>
    </row>
    <row r="38" spans="2:11" ht="15" customHeight="1" x14ac:dyDescent="0.35">
      <c r="B38" s="55" t="s">
        <v>401</v>
      </c>
      <c r="C38" s="56" t="s">
        <v>399</v>
      </c>
      <c r="D38" s="62">
        <v>55000</v>
      </c>
      <c r="E38" s="62">
        <v>55000</v>
      </c>
      <c r="F38" s="62">
        <v>55000</v>
      </c>
      <c r="G38" s="62">
        <v>55000</v>
      </c>
      <c r="H38" s="62">
        <v>45000</v>
      </c>
      <c r="I38" s="62">
        <v>45000</v>
      </c>
      <c r="J38" s="62">
        <v>80000</v>
      </c>
    </row>
    <row r="39" spans="2:11" ht="15" customHeight="1" x14ac:dyDescent="0.35">
      <c r="B39" s="55" t="s">
        <v>402</v>
      </c>
      <c r="C39" s="56" t="s">
        <v>8</v>
      </c>
      <c r="D39" s="57">
        <v>3</v>
      </c>
      <c r="E39" s="57">
        <v>3</v>
      </c>
      <c r="F39" s="57">
        <v>3</v>
      </c>
      <c r="G39" s="57">
        <v>3</v>
      </c>
      <c r="H39" s="57">
        <v>3</v>
      </c>
      <c r="I39" s="57">
        <v>3</v>
      </c>
      <c r="J39" s="57">
        <v>3</v>
      </c>
    </row>
    <row r="40" spans="2:11" ht="15" customHeight="1" x14ac:dyDescent="0.35">
      <c r="B40" s="63" t="s">
        <v>403</v>
      </c>
      <c r="C40" s="59" t="s">
        <v>379</v>
      </c>
      <c r="D40" s="17">
        <f t="shared" ref="D40:J40" si="8">IF(D39&gt;0,D38*13.5/D39,0)</f>
        <v>247500</v>
      </c>
      <c r="E40" s="17">
        <f t="shared" si="8"/>
        <v>247500</v>
      </c>
      <c r="F40" s="17">
        <f t="shared" si="8"/>
        <v>247500</v>
      </c>
      <c r="G40" s="17">
        <f t="shared" si="8"/>
        <v>247500</v>
      </c>
      <c r="H40" s="17">
        <f t="shared" si="8"/>
        <v>202500</v>
      </c>
      <c r="I40" s="17">
        <f t="shared" si="8"/>
        <v>202500</v>
      </c>
      <c r="J40" s="17">
        <f t="shared" si="8"/>
        <v>360000</v>
      </c>
    </row>
    <row r="41" spans="2:11" ht="15" customHeight="1" x14ac:dyDescent="0.35">
      <c r="B41" s="55" t="s">
        <v>404</v>
      </c>
      <c r="C41" s="56" t="s">
        <v>8</v>
      </c>
      <c r="D41" s="57">
        <v>0</v>
      </c>
      <c r="E41" s="57">
        <v>1</v>
      </c>
      <c r="F41" s="57">
        <v>1</v>
      </c>
      <c r="G41" s="57">
        <v>0</v>
      </c>
      <c r="H41" s="57">
        <v>1</v>
      </c>
      <c r="I41" s="57">
        <v>1</v>
      </c>
      <c r="J41" s="57">
        <v>0</v>
      </c>
    </row>
    <row r="42" spans="2:11" ht="15" customHeight="1" x14ac:dyDescent="0.35">
      <c r="B42" s="55" t="s">
        <v>405</v>
      </c>
      <c r="C42" s="56" t="s">
        <v>399</v>
      </c>
      <c r="D42" s="62">
        <v>18000</v>
      </c>
      <c r="E42" s="62">
        <v>18000</v>
      </c>
      <c r="F42" s="62">
        <v>18000</v>
      </c>
      <c r="G42" s="62">
        <v>18000</v>
      </c>
      <c r="H42" s="62">
        <v>18000</v>
      </c>
      <c r="I42" s="62">
        <v>18000</v>
      </c>
      <c r="J42" s="62">
        <v>18000</v>
      </c>
    </row>
    <row r="43" spans="2:11" ht="15" customHeight="1" x14ac:dyDescent="0.35">
      <c r="B43" s="63" t="s">
        <v>406</v>
      </c>
      <c r="C43" s="59" t="s">
        <v>379</v>
      </c>
      <c r="D43" s="17">
        <f t="shared" ref="D43:J43" si="9">D41*D42*13.5</f>
        <v>0</v>
      </c>
      <c r="E43" s="17">
        <f t="shared" si="9"/>
        <v>243000</v>
      </c>
      <c r="F43" s="17">
        <f t="shared" si="9"/>
        <v>243000</v>
      </c>
      <c r="G43" s="17">
        <f t="shared" si="9"/>
        <v>0</v>
      </c>
      <c r="H43" s="17">
        <f t="shared" si="9"/>
        <v>243000</v>
      </c>
      <c r="I43" s="17">
        <f t="shared" si="9"/>
        <v>243000</v>
      </c>
      <c r="J43" s="17">
        <f t="shared" si="9"/>
        <v>0</v>
      </c>
    </row>
    <row r="44" spans="2:11" ht="15" customHeight="1" x14ac:dyDescent="0.35">
      <c r="B44" s="55" t="s">
        <v>407</v>
      </c>
      <c r="C44" s="56" t="s">
        <v>124</v>
      </c>
      <c r="D44" s="61">
        <v>0.2</v>
      </c>
      <c r="E44" s="61">
        <v>0.2</v>
      </c>
      <c r="F44" s="61">
        <v>0.2</v>
      </c>
      <c r="G44" s="61">
        <v>0.2</v>
      </c>
      <c r="H44" s="61">
        <v>0.2</v>
      </c>
      <c r="I44" s="61">
        <v>0.2</v>
      </c>
      <c r="J44" s="61">
        <v>0.2</v>
      </c>
    </row>
    <row r="45" spans="2:11" ht="15" customHeight="1" x14ac:dyDescent="0.35">
      <c r="B45" s="63" t="s">
        <v>408</v>
      </c>
      <c r="C45" s="59" t="s">
        <v>379</v>
      </c>
      <c r="D45" s="17">
        <f t="shared" ref="D45:J45" si="10">(D37+D40+D43)*D44</f>
        <v>125100</v>
      </c>
      <c r="E45" s="17">
        <f t="shared" si="10"/>
        <v>184500</v>
      </c>
      <c r="F45" s="17">
        <f t="shared" si="10"/>
        <v>192600</v>
      </c>
      <c r="G45" s="17">
        <f t="shared" si="10"/>
        <v>130500</v>
      </c>
      <c r="H45" s="17">
        <f t="shared" si="10"/>
        <v>224100</v>
      </c>
      <c r="I45" s="17">
        <f t="shared" si="10"/>
        <v>156600</v>
      </c>
      <c r="J45" s="17">
        <f t="shared" si="10"/>
        <v>72000</v>
      </c>
    </row>
    <row r="46" spans="2:11" ht="15" customHeight="1" x14ac:dyDescent="0.35">
      <c r="B46" s="55" t="s">
        <v>409</v>
      </c>
      <c r="C46" s="56" t="s">
        <v>379</v>
      </c>
      <c r="D46" s="62">
        <v>12000</v>
      </c>
      <c r="E46" s="62">
        <v>18000</v>
      </c>
      <c r="F46" s="62">
        <v>24000</v>
      </c>
      <c r="G46" s="62">
        <v>12000</v>
      </c>
      <c r="H46" s="62">
        <v>12000</v>
      </c>
      <c r="I46" s="62">
        <v>18000</v>
      </c>
      <c r="J46" s="62">
        <v>12000</v>
      </c>
    </row>
    <row r="48" spans="2:11" ht="15" customHeight="1" x14ac:dyDescent="0.35">
      <c r="B48" s="241" t="s">
        <v>410</v>
      </c>
      <c r="C48" s="241"/>
      <c r="D48" s="241"/>
      <c r="E48" s="241"/>
      <c r="F48" s="241"/>
      <c r="G48" s="241"/>
      <c r="H48" s="241"/>
      <c r="I48" s="241"/>
      <c r="J48" s="241"/>
      <c r="K48" s="241"/>
    </row>
    <row r="49" spans="2:11" ht="18" customHeight="1" x14ac:dyDescent="0.35">
      <c r="B49" s="18" t="s">
        <v>411</v>
      </c>
      <c r="C49" s="65" t="s">
        <v>379</v>
      </c>
      <c r="D49" s="66">
        <f t="shared" ref="D49:J49" si="11">D37+D40+D43+D45+D46</f>
        <v>762600</v>
      </c>
      <c r="E49" s="66">
        <f t="shared" si="11"/>
        <v>1125000</v>
      </c>
      <c r="F49" s="66">
        <f t="shared" si="11"/>
        <v>1179600</v>
      </c>
      <c r="G49" s="66">
        <f t="shared" si="11"/>
        <v>795000</v>
      </c>
      <c r="H49" s="66">
        <f t="shared" si="11"/>
        <v>1356600</v>
      </c>
      <c r="I49" s="66">
        <f t="shared" si="11"/>
        <v>957600</v>
      </c>
      <c r="J49" s="66">
        <f t="shared" si="11"/>
        <v>444000</v>
      </c>
    </row>
    <row r="51" spans="2:11" ht="15.75" customHeight="1" x14ac:dyDescent="0.35">
      <c r="B51" s="240" t="s">
        <v>412</v>
      </c>
      <c r="C51" s="240"/>
      <c r="D51" s="240"/>
      <c r="E51" s="240"/>
      <c r="F51" s="240"/>
      <c r="G51" s="240"/>
      <c r="H51" s="240"/>
      <c r="I51" s="240"/>
      <c r="J51" s="240"/>
      <c r="K51" s="240"/>
    </row>
    <row r="52" spans="2:11" ht="15.75" customHeight="1" x14ac:dyDescent="0.35">
      <c r="B52" s="58" t="s">
        <v>413</v>
      </c>
      <c r="C52" s="59" t="s">
        <v>379</v>
      </c>
      <c r="D52" s="67">
        <f t="shared" ref="D52:J52" si="12">D32+D49</f>
        <v>2560560</v>
      </c>
      <c r="E52" s="67">
        <f t="shared" si="12"/>
        <v>3001640</v>
      </c>
      <c r="F52" s="67">
        <f t="shared" si="12"/>
        <v>1911800</v>
      </c>
      <c r="G52" s="67">
        <f t="shared" si="12"/>
        <v>1650820</v>
      </c>
      <c r="H52" s="67">
        <f t="shared" si="12"/>
        <v>1641285.7142857143</v>
      </c>
      <c r="I52" s="67">
        <f t="shared" si="12"/>
        <v>1442998.2857142857</v>
      </c>
      <c r="J52" s="67">
        <f t="shared" si="12"/>
        <v>574800</v>
      </c>
    </row>
    <row r="53" spans="2:11" ht="19.5" customHeight="1" x14ac:dyDescent="0.35">
      <c r="B53" s="68" t="s">
        <v>414</v>
      </c>
      <c r="C53" s="69" t="s">
        <v>173</v>
      </c>
      <c r="D53" s="70">
        <f t="shared" ref="D53:J53" si="13">IFERROR(D32/D11,0)</f>
        <v>499.43333333333334</v>
      </c>
      <c r="E53" s="70">
        <f t="shared" si="13"/>
        <v>558.52380952380952</v>
      </c>
      <c r="F53" s="70">
        <f t="shared" si="13"/>
        <v>190.67708333333334</v>
      </c>
      <c r="G53" s="70">
        <f t="shared" si="13"/>
        <v>254.70833333333334</v>
      </c>
      <c r="H53" s="70">
        <f t="shared" si="13"/>
        <v>158.15873015873018</v>
      </c>
      <c r="I53" s="70">
        <f t="shared" si="13"/>
        <v>311.15274725274725</v>
      </c>
      <c r="J53" s="70">
        <f t="shared" si="13"/>
        <v>76.941176470588232</v>
      </c>
    </row>
    <row r="54" spans="2:11" ht="19.5" customHeight="1" x14ac:dyDescent="0.35">
      <c r="B54" s="71" t="s">
        <v>415</v>
      </c>
      <c r="C54" s="72" t="s">
        <v>173</v>
      </c>
      <c r="D54" s="73">
        <f t="shared" ref="D54:J54" si="14">IFERROR(D49/D11,0)</f>
        <v>211.83333333333334</v>
      </c>
      <c r="E54" s="73">
        <f t="shared" si="14"/>
        <v>334.82142857142856</v>
      </c>
      <c r="F54" s="73">
        <f t="shared" si="14"/>
        <v>307.1875</v>
      </c>
      <c r="G54" s="73">
        <f t="shared" si="14"/>
        <v>236.60714285714286</v>
      </c>
      <c r="H54" s="73">
        <f t="shared" si="14"/>
        <v>753.66666666666663</v>
      </c>
      <c r="I54" s="73">
        <f t="shared" si="14"/>
        <v>613.84615384615381</v>
      </c>
      <c r="J54" s="73">
        <f t="shared" si="14"/>
        <v>261.1764705882353</v>
      </c>
    </row>
    <row r="55" spans="2:11" ht="19.5" customHeight="1" x14ac:dyDescent="0.35">
      <c r="B55" s="74" t="s">
        <v>416</v>
      </c>
      <c r="C55" s="75" t="s">
        <v>173</v>
      </c>
      <c r="D55" s="76">
        <f t="shared" ref="D55:J55" si="15">D53+D54</f>
        <v>711.26666666666665</v>
      </c>
      <c r="E55" s="76">
        <f t="shared" si="15"/>
        <v>893.34523809523807</v>
      </c>
      <c r="F55" s="76">
        <f t="shared" si="15"/>
        <v>497.86458333333337</v>
      </c>
      <c r="G55" s="76">
        <f t="shared" si="15"/>
        <v>491.3154761904762</v>
      </c>
      <c r="H55" s="76">
        <f t="shared" si="15"/>
        <v>911.82539682539687</v>
      </c>
      <c r="I55" s="76">
        <f t="shared" si="15"/>
        <v>924.99890109890111</v>
      </c>
      <c r="J55" s="76">
        <f t="shared" si="15"/>
        <v>338.11764705882354</v>
      </c>
    </row>
    <row r="56" spans="2:11" ht="15" customHeight="1" x14ac:dyDescent="0.35">
      <c r="B56" s="63" t="s">
        <v>417</v>
      </c>
      <c r="C56" s="59" t="s">
        <v>173</v>
      </c>
      <c r="D56" s="77">
        <f t="shared" ref="D56:J57" si="16">D53</f>
        <v>499.43333333333334</v>
      </c>
      <c r="E56" s="77">
        <f t="shared" si="16"/>
        <v>558.52380952380952</v>
      </c>
      <c r="F56" s="77">
        <f t="shared" si="16"/>
        <v>190.67708333333334</v>
      </c>
      <c r="G56" s="77">
        <f t="shared" si="16"/>
        <v>254.70833333333334</v>
      </c>
      <c r="H56" s="77">
        <f t="shared" si="16"/>
        <v>158.15873015873018</v>
      </c>
      <c r="I56" s="77">
        <f t="shared" si="16"/>
        <v>311.15274725274725</v>
      </c>
      <c r="J56" s="77">
        <f t="shared" si="16"/>
        <v>76.941176470588232</v>
      </c>
    </row>
    <row r="57" spans="2:11" ht="15" customHeight="1" x14ac:dyDescent="0.35">
      <c r="B57" s="63" t="s">
        <v>418</v>
      </c>
      <c r="C57" s="59" t="s">
        <v>173</v>
      </c>
      <c r="D57" s="77">
        <f t="shared" si="16"/>
        <v>211.83333333333334</v>
      </c>
      <c r="E57" s="77">
        <f t="shared" si="16"/>
        <v>334.82142857142856</v>
      </c>
      <c r="F57" s="77">
        <f t="shared" si="16"/>
        <v>307.1875</v>
      </c>
      <c r="G57" s="77">
        <f t="shared" si="16"/>
        <v>236.60714285714286</v>
      </c>
      <c r="H57" s="77">
        <f t="shared" si="16"/>
        <v>753.66666666666663</v>
      </c>
      <c r="I57" s="77">
        <f t="shared" si="16"/>
        <v>613.84615384615381</v>
      </c>
      <c r="J57" s="77">
        <f t="shared" si="16"/>
        <v>261.1764705882353</v>
      </c>
    </row>
    <row r="59" spans="2:11" ht="15.75" customHeight="1" x14ac:dyDescent="0.35">
      <c r="B59" s="240" t="s">
        <v>419</v>
      </c>
      <c r="C59" s="240"/>
      <c r="D59" s="240"/>
      <c r="E59" s="240"/>
      <c r="F59" s="240"/>
      <c r="G59" s="240"/>
      <c r="H59" s="240"/>
      <c r="I59" s="240"/>
      <c r="J59" s="240"/>
      <c r="K59" s="240"/>
    </row>
    <row r="60" spans="2:11" ht="13.5" customHeight="1" x14ac:dyDescent="0.35">
      <c r="B60" s="242" t="s">
        <v>420</v>
      </c>
      <c r="C60" s="242"/>
      <c r="D60" s="242"/>
      <c r="E60" s="242"/>
      <c r="F60" s="242"/>
      <c r="G60" s="242"/>
      <c r="H60" s="242"/>
      <c r="I60" s="242"/>
      <c r="J60" s="242"/>
      <c r="K60" s="242"/>
    </row>
    <row r="61" spans="2:11" ht="15" customHeight="1" x14ac:dyDescent="0.35">
      <c r="B61" s="53" t="s">
        <v>172</v>
      </c>
      <c r="C61" s="53" t="s">
        <v>1</v>
      </c>
      <c r="D61" s="19" t="s">
        <v>421</v>
      </c>
      <c r="E61" s="19" t="s">
        <v>422</v>
      </c>
      <c r="F61" s="19" t="s">
        <v>423</v>
      </c>
      <c r="G61" s="19" t="s">
        <v>424</v>
      </c>
      <c r="H61" s="19" t="s">
        <v>361</v>
      </c>
      <c r="I61" s="19" t="s">
        <v>286</v>
      </c>
      <c r="J61" s="19" t="s">
        <v>362</v>
      </c>
    </row>
    <row r="62" spans="2:11" ht="15" customHeight="1" x14ac:dyDescent="0.35">
      <c r="B62" s="55" t="s">
        <v>425</v>
      </c>
      <c r="C62" s="56" t="s">
        <v>426</v>
      </c>
      <c r="D62" s="64">
        <v>3.5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</row>
    <row r="63" spans="2:11" ht="15" customHeight="1" x14ac:dyDescent="0.35">
      <c r="B63" s="55" t="s">
        <v>427</v>
      </c>
      <c r="C63" s="56" t="s">
        <v>426</v>
      </c>
      <c r="D63" s="64">
        <v>0</v>
      </c>
      <c r="E63" s="64">
        <v>2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</row>
    <row r="64" spans="2:11" ht="15" customHeight="1" x14ac:dyDescent="0.35">
      <c r="B64" s="55" t="s">
        <v>428</v>
      </c>
      <c r="C64" s="56" t="s">
        <v>426</v>
      </c>
      <c r="D64" s="64">
        <v>0</v>
      </c>
      <c r="E64" s="64">
        <v>0</v>
      </c>
      <c r="F64" s="64">
        <v>2.5</v>
      </c>
      <c r="G64" s="64">
        <v>0</v>
      </c>
      <c r="H64" s="64">
        <v>0</v>
      </c>
      <c r="I64" s="64">
        <v>0</v>
      </c>
      <c r="J64" s="64">
        <v>0</v>
      </c>
    </row>
    <row r="65" spans="2:11" ht="15" customHeight="1" x14ac:dyDescent="0.35">
      <c r="B65" s="55" t="s">
        <v>429</v>
      </c>
      <c r="C65" s="56" t="s">
        <v>426</v>
      </c>
      <c r="D65" s="64">
        <v>2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</row>
    <row r="66" spans="2:11" ht="15" customHeight="1" x14ac:dyDescent="0.35">
      <c r="B66" s="55" t="s">
        <v>430</v>
      </c>
      <c r="C66" s="56" t="s">
        <v>426</v>
      </c>
      <c r="D66" s="64">
        <v>0</v>
      </c>
      <c r="E66" s="64">
        <v>0</v>
      </c>
      <c r="F66" s="64">
        <v>3</v>
      </c>
      <c r="G66" s="64">
        <v>0</v>
      </c>
      <c r="H66" s="64">
        <v>0</v>
      </c>
      <c r="I66" s="64">
        <v>0</v>
      </c>
      <c r="J66" s="64">
        <v>0</v>
      </c>
    </row>
    <row r="67" spans="2:11" ht="15" customHeight="1" x14ac:dyDescent="0.35">
      <c r="B67" s="55" t="s">
        <v>180</v>
      </c>
      <c r="C67" s="56" t="s">
        <v>426</v>
      </c>
      <c r="D67" s="64">
        <v>0</v>
      </c>
      <c r="E67" s="64">
        <v>0</v>
      </c>
      <c r="F67" s="64">
        <v>0</v>
      </c>
      <c r="G67" s="64">
        <v>1.5</v>
      </c>
      <c r="H67" s="64">
        <v>0</v>
      </c>
      <c r="I67" s="64">
        <v>0</v>
      </c>
      <c r="J67" s="64">
        <v>0</v>
      </c>
    </row>
    <row r="68" spans="2:11" ht="15" customHeight="1" x14ac:dyDescent="0.35">
      <c r="B68" s="55" t="s">
        <v>361</v>
      </c>
      <c r="C68" s="56" t="s">
        <v>426</v>
      </c>
      <c r="D68" s="64">
        <v>0</v>
      </c>
      <c r="E68" s="64">
        <v>0</v>
      </c>
      <c r="F68" s="64">
        <v>0</v>
      </c>
      <c r="G68" s="64">
        <v>0</v>
      </c>
      <c r="H68" s="64">
        <v>2.5</v>
      </c>
      <c r="I68" s="64">
        <v>0</v>
      </c>
      <c r="J68" s="64">
        <v>0</v>
      </c>
    </row>
    <row r="69" spans="2:11" ht="15" customHeight="1" x14ac:dyDescent="0.35">
      <c r="B69" s="55" t="s">
        <v>431</v>
      </c>
      <c r="C69" s="56" t="s">
        <v>426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1.2</v>
      </c>
      <c r="J69" s="64">
        <v>0</v>
      </c>
    </row>
    <row r="70" spans="2:11" ht="15" customHeight="1" x14ac:dyDescent="0.35">
      <c r="B70" s="55" t="s">
        <v>432</v>
      </c>
      <c r="C70" s="56" t="s">
        <v>433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20</v>
      </c>
    </row>
    <row r="72" spans="2:11" ht="15" customHeight="1" x14ac:dyDescent="0.35">
      <c r="B72" s="241" t="s">
        <v>434</v>
      </c>
      <c r="C72" s="241"/>
      <c r="D72" s="241"/>
      <c r="E72" s="241"/>
      <c r="F72" s="241"/>
      <c r="G72" s="241"/>
      <c r="H72" s="241"/>
      <c r="I72" s="241"/>
      <c r="J72" s="241"/>
      <c r="K72" s="241"/>
    </row>
    <row r="73" spans="2:11" ht="18" customHeight="1" x14ac:dyDescent="0.35">
      <c r="B73" s="18" t="s">
        <v>435</v>
      </c>
      <c r="C73" s="65" t="s">
        <v>436</v>
      </c>
      <c r="D73" s="67">
        <f t="shared" ref="D73:J73" si="17">D62*D55+D63*D55+D64*D55+D65*D55+D66*D55+D67*D55+D68*D55+D69*D55+D70*D55</f>
        <v>3911.9666666666667</v>
      </c>
      <c r="E73" s="67">
        <f t="shared" si="17"/>
        <v>1786.6904761904761</v>
      </c>
      <c r="F73" s="67">
        <f t="shared" si="17"/>
        <v>2738.2552083333335</v>
      </c>
      <c r="G73" s="67">
        <f t="shared" si="17"/>
        <v>736.97321428571433</v>
      </c>
      <c r="H73" s="67">
        <f t="shared" si="17"/>
        <v>2279.563492063492</v>
      </c>
      <c r="I73" s="67">
        <f t="shared" si="17"/>
        <v>1109.9986813186813</v>
      </c>
      <c r="J73" s="67">
        <f t="shared" si="17"/>
        <v>6762.3529411764703</v>
      </c>
    </row>
    <row r="74" spans="2:11" ht="15" customHeight="1" x14ac:dyDescent="0.35">
      <c r="B74" s="63" t="s">
        <v>437</v>
      </c>
      <c r="C74" s="59" t="s">
        <v>163</v>
      </c>
      <c r="D74" s="78">
        <f t="shared" ref="D74:J74" si="18">D73/1000</f>
        <v>3.9119666666666668</v>
      </c>
      <c r="E74" s="78">
        <f t="shared" si="18"/>
        <v>1.7866904761904761</v>
      </c>
      <c r="F74" s="78">
        <f t="shared" si="18"/>
        <v>2.7382552083333334</v>
      </c>
      <c r="G74" s="78">
        <f t="shared" si="18"/>
        <v>0.73697321428571438</v>
      </c>
      <c r="H74" s="78">
        <f t="shared" si="18"/>
        <v>2.2795634920634922</v>
      </c>
      <c r="I74" s="78">
        <f t="shared" si="18"/>
        <v>1.1099986813186813</v>
      </c>
      <c r="J74" s="78">
        <f t="shared" si="18"/>
        <v>6.76235294117647</v>
      </c>
    </row>
    <row r="76" spans="2:11" ht="15.75" customHeight="1" x14ac:dyDescent="0.35">
      <c r="B76" s="240" t="s">
        <v>438</v>
      </c>
      <c r="C76" s="240"/>
      <c r="D76" s="240"/>
      <c r="E76" s="240"/>
      <c r="F76" s="240"/>
      <c r="G76" s="240"/>
      <c r="H76" s="240"/>
      <c r="I76" s="240"/>
      <c r="J76" s="240"/>
      <c r="K76" s="240"/>
    </row>
    <row r="77" spans="2:11" ht="13.5" customHeight="1" x14ac:dyDescent="0.35">
      <c r="B77" s="243" t="s">
        <v>439</v>
      </c>
      <c r="C77" s="243"/>
      <c r="D77" s="243"/>
      <c r="E77" s="243"/>
      <c r="F77" s="243"/>
      <c r="G77" s="243"/>
      <c r="H77" s="243"/>
      <c r="I77" s="243"/>
      <c r="J77" s="243"/>
      <c r="K77" s="243"/>
    </row>
    <row r="78" spans="2:11" ht="15" customHeight="1" x14ac:dyDescent="0.35">
      <c r="B78" s="79" t="s">
        <v>440</v>
      </c>
      <c r="C78" s="80" t="s">
        <v>173</v>
      </c>
      <c r="D78" s="81">
        <f>D55</f>
        <v>711.26666666666665</v>
      </c>
      <c r="E78" s="244" t="s">
        <v>441</v>
      </c>
      <c r="F78" s="244"/>
      <c r="G78" s="244"/>
      <c r="H78" s="244"/>
      <c r="I78" s="244"/>
      <c r="J78" s="244"/>
      <c r="K78" s="244"/>
    </row>
    <row r="79" spans="2:11" ht="15" customHeight="1" x14ac:dyDescent="0.35">
      <c r="B79" s="79" t="s">
        <v>442</v>
      </c>
      <c r="C79" s="80" t="s">
        <v>173</v>
      </c>
      <c r="D79" s="81">
        <f>E55</f>
        <v>893.34523809523807</v>
      </c>
      <c r="E79" s="244" t="s">
        <v>443</v>
      </c>
      <c r="F79" s="244"/>
      <c r="G79" s="244"/>
      <c r="H79" s="244"/>
      <c r="I79" s="244"/>
      <c r="J79" s="244"/>
      <c r="K79" s="244"/>
    </row>
    <row r="80" spans="2:11" ht="15" customHeight="1" x14ac:dyDescent="0.35">
      <c r="B80" s="79" t="s">
        <v>444</v>
      </c>
      <c r="C80" s="80" t="s">
        <v>173</v>
      </c>
      <c r="D80" s="81">
        <f>F55</f>
        <v>497.86458333333337</v>
      </c>
      <c r="E80" s="244" t="s">
        <v>445</v>
      </c>
      <c r="F80" s="244"/>
      <c r="G80" s="244"/>
      <c r="H80" s="244"/>
      <c r="I80" s="244"/>
      <c r="J80" s="244"/>
      <c r="K80" s="244"/>
    </row>
    <row r="81" spans="2:11" ht="15" customHeight="1" x14ac:dyDescent="0.35">
      <c r="B81" s="79" t="s">
        <v>446</v>
      </c>
      <c r="C81" s="80" t="s">
        <v>173</v>
      </c>
      <c r="D81" s="81">
        <f>G55</f>
        <v>491.3154761904762</v>
      </c>
      <c r="E81" s="244" t="s">
        <v>447</v>
      </c>
      <c r="F81" s="244"/>
      <c r="G81" s="244"/>
      <c r="H81" s="244"/>
      <c r="I81" s="244"/>
      <c r="J81" s="244"/>
      <c r="K81" s="244"/>
    </row>
    <row r="82" spans="2:11" ht="15" customHeight="1" x14ac:dyDescent="0.35">
      <c r="B82" s="79" t="s">
        <v>448</v>
      </c>
      <c r="C82" s="80" t="s">
        <v>173</v>
      </c>
      <c r="D82" s="81">
        <f>H55</f>
        <v>911.82539682539687</v>
      </c>
      <c r="E82" s="244" t="s">
        <v>449</v>
      </c>
      <c r="F82" s="244"/>
      <c r="G82" s="244"/>
      <c r="H82" s="244"/>
      <c r="I82" s="244"/>
      <c r="J82" s="244"/>
      <c r="K82" s="244"/>
    </row>
    <row r="83" spans="2:11" ht="15" customHeight="1" x14ac:dyDescent="0.35">
      <c r="B83" s="79" t="s">
        <v>450</v>
      </c>
      <c r="C83" s="80" t="s">
        <v>173</v>
      </c>
      <c r="D83" s="81">
        <f>I55</f>
        <v>924.99890109890111</v>
      </c>
      <c r="E83" s="244" t="s">
        <v>451</v>
      </c>
      <c r="F83" s="244"/>
      <c r="G83" s="244"/>
      <c r="H83" s="244"/>
      <c r="I83" s="244"/>
      <c r="J83" s="244"/>
      <c r="K83" s="244"/>
    </row>
    <row r="84" spans="2:11" ht="15" customHeight="1" x14ac:dyDescent="0.35">
      <c r="B84" s="79" t="s">
        <v>452</v>
      </c>
      <c r="C84" s="80" t="s">
        <v>173</v>
      </c>
      <c r="D84" s="81">
        <f>J55</f>
        <v>338.11764705882354</v>
      </c>
      <c r="E84" s="244" t="s">
        <v>453</v>
      </c>
      <c r="F84" s="244"/>
      <c r="G84" s="244"/>
      <c r="H84" s="244"/>
      <c r="I84" s="244"/>
      <c r="J84" s="244"/>
      <c r="K84" s="244"/>
    </row>
  </sheetData>
  <mergeCells count="20">
    <mergeCell ref="E80:K80"/>
    <mergeCell ref="E81:K81"/>
    <mergeCell ref="E82:K82"/>
    <mergeCell ref="E83:K83"/>
    <mergeCell ref="E84:K84"/>
    <mergeCell ref="B72:K72"/>
    <mergeCell ref="B76:K76"/>
    <mergeCell ref="B77:K77"/>
    <mergeCell ref="E78:K78"/>
    <mergeCell ref="E79:K79"/>
    <mergeCell ref="B34:K34"/>
    <mergeCell ref="B48:K48"/>
    <mergeCell ref="B51:K51"/>
    <mergeCell ref="B59:K59"/>
    <mergeCell ref="B60:K60"/>
    <mergeCell ref="B1:K1"/>
    <mergeCell ref="B2:K2"/>
    <mergeCell ref="B5:K5"/>
    <mergeCell ref="B13:K13"/>
    <mergeCell ref="B31:K3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7"/>
  <sheetViews>
    <sheetView showGridLines="0" topLeftCell="A2" zoomScaleNormal="100" workbookViewId="0">
      <selection activeCell="A96" sqref="A96:A97"/>
    </sheetView>
  </sheetViews>
  <sheetFormatPr defaultColWidth="8.6328125" defaultRowHeight="14.5" x14ac:dyDescent="0.35"/>
  <cols>
    <col min="1" max="1" width="22" customWidth="1"/>
    <col min="2" max="2" width="14" customWidth="1"/>
    <col min="3" max="4" width="12" customWidth="1"/>
    <col min="5" max="5" width="18" customWidth="1"/>
  </cols>
  <sheetData>
    <row r="1" spans="1:5" ht="15.75" customHeight="1" x14ac:dyDescent="0.35">
      <c r="A1" s="19" t="s">
        <v>205</v>
      </c>
      <c r="B1" s="19" t="s">
        <v>206</v>
      </c>
      <c r="C1" s="19" t="s">
        <v>454</v>
      </c>
      <c r="D1" s="19" t="s">
        <v>455</v>
      </c>
      <c r="E1" s="19" t="s">
        <v>209</v>
      </c>
    </row>
    <row r="2" spans="1:5" ht="13.5" customHeight="1" x14ac:dyDescent="0.35">
      <c r="A2" s="82" t="s">
        <v>456</v>
      </c>
      <c r="B2" s="83">
        <v>80</v>
      </c>
      <c r="C2" s="84">
        <v>9270</v>
      </c>
      <c r="D2" s="85">
        <v>84.27</v>
      </c>
      <c r="E2" s="86">
        <v>60</v>
      </c>
    </row>
    <row r="3" spans="1:5" ht="13.5" customHeight="1" x14ac:dyDescent="0.35">
      <c r="A3" s="87" t="s">
        <v>457</v>
      </c>
      <c r="B3" s="88">
        <v>45</v>
      </c>
      <c r="C3" s="89">
        <v>2958</v>
      </c>
      <c r="D3" s="90">
        <v>26.89</v>
      </c>
      <c r="E3" s="91">
        <v>60</v>
      </c>
    </row>
    <row r="4" spans="1:5" ht="13.5" customHeight="1" x14ac:dyDescent="0.35">
      <c r="A4" s="82" t="s">
        <v>458</v>
      </c>
      <c r="B4" s="83">
        <v>50</v>
      </c>
      <c r="C4" s="84">
        <v>2232</v>
      </c>
      <c r="D4" s="85">
        <v>20.29</v>
      </c>
      <c r="E4" s="86">
        <v>60</v>
      </c>
    </row>
    <row r="5" spans="1:5" ht="13.5" customHeight="1" x14ac:dyDescent="0.35">
      <c r="A5" s="87" t="s">
        <v>459</v>
      </c>
      <c r="B5" s="88">
        <v>55</v>
      </c>
      <c r="C5" s="89">
        <v>3473</v>
      </c>
      <c r="D5" s="90">
        <v>31.57</v>
      </c>
      <c r="E5" s="91">
        <v>60</v>
      </c>
    </row>
    <row r="6" spans="1:5" ht="13.5" customHeight="1" x14ac:dyDescent="0.35">
      <c r="A6" s="82" t="s">
        <v>460</v>
      </c>
      <c r="B6" s="83">
        <v>65</v>
      </c>
      <c r="C6" s="84">
        <v>3831</v>
      </c>
      <c r="D6" s="85">
        <v>34.83</v>
      </c>
      <c r="E6" s="86">
        <v>60</v>
      </c>
    </row>
    <row r="7" spans="1:5" ht="13.5" customHeight="1" x14ac:dyDescent="0.35">
      <c r="A7" s="87" t="s">
        <v>461</v>
      </c>
      <c r="B7" s="88">
        <v>75</v>
      </c>
      <c r="C7" s="89">
        <v>5801</v>
      </c>
      <c r="D7" s="90">
        <v>52.74</v>
      </c>
      <c r="E7" s="91">
        <v>60</v>
      </c>
    </row>
    <row r="8" spans="1:5" ht="13.5" customHeight="1" x14ac:dyDescent="0.35">
      <c r="A8" s="82" t="s">
        <v>462</v>
      </c>
      <c r="B8" s="83">
        <v>80</v>
      </c>
      <c r="C8" s="84">
        <v>4330</v>
      </c>
      <c r="D8" s="85">
        <v>39.36</v>
      </c>
      <c r="E8" s="86">
        <v>60</v>
      </c>
    </row>
    <row r="9" spans="1:5" ht="13.5" customHeight="1" x14ac:dyDescent="0.35">
      <c r="A9" s="87" t="s">
        <v>463</v>
      </c>
      <c r="B9" s="88">
        <v>85</v>
      </c>
      <c r="C9" s="89">
        <v>4620</v>
      </c>
      <c r="D9" s="90">
        <v>42</v>
      </c>
      <c r="E9" s="91">
        <v>60</v>
      </c>
    </row>
    <row r="10" spans="1:5" ht="13.5" customHeight="1" x14ac:dyDescent="0.35">
      <c r="A10" s="82" t="s">
        <v>212</v>
      </c>
      <c r="B10" s="83">
        <v>90</v>
      </c>
      <c r="C10" s="84">
        <v>10234</v>
      </c>
      <c r="D10" s="85">
        <v>93.13</v>
      </c>
      <c r="E10" s="86">
        <v>60</v>
      </c>
    </row>
    <row r="11" spans="1:5" ht="13.5" customHeight="1" x14ac:dyDescent="0.35">
      <c r="A11" s="87" t="s">
        <v>216</v>
      </c>
      <c r="B11" s="88">
        <v>95</v>
      </c>
      <c r="C11" s="89">
        <v>7383</v>
      </c>
      <c r="D11" s="90">
        <v>67.19</v>
      </c>
      <c r="E11" s="91">
        <v>60</v>
      </c>
    </row>
    <row r="12" spans="1:5" ht="13.5" customHeight="1" x14ac:dyDescent="0.35">
      <c r="A12" s="82" t="s">
        <v>217</v>
      </c>
      <c r="B12" s="83">
        <v>100</v>
      </c>
      <c r="C12" s="84">
        <v>6900</v>
      </c>
      <c r="D12" s="85">
        <v>62.79</v>
      </c>
      <c r="E12" s="86">
        <v>60</v>
      </c>
    </row>
    <row r="13" spans="1:5" ht="13.5" customHeight="1" x14ac:dyDescent="0.35">
      <c r="A13" s="87" t="s">
        <v>218</v>
      </c>
      <c r="B13" s="88">
        <v>110</v>
      </c>
      <c r="C13" s="89">
        <v>7356</v>
      </c>
      <c r="D13" s="90">
        <v>66.94</v>
      </c>
      <c r="E13" s="91">
        <v>60</v>
      </c>
    </row>
    <row r="14" spans="1:5" ht="13.5" customHeight="1" x14ac:dyDescent="0.35">
      <c r="A14" s="82" t="s">
        <v>219</v>
      </c>
      <c r="B14" s="83">
        <v>120</v>
      </c>
      <c r="C14" s="84">
        <v>9477</v>
      </c>
      <c r="D14" s="85">
        <v>86.24</v>
      </c>
      <c r="E14" s="86">
        <v>60</v>
      </c>
    </row>
    <row r="15" spans="1:5" ht="13.5" customHeight="1" x14ac:dyDescent="0.35">
      <c r="A15" s="87" t="s">
        <v>220</v>
      </c>
      <c r="B15" s="88">
        <v>130</v>
      </c>
      <c r="C15" s="89">
        <v>30249</v>
      </c>
      <c r="D15" s="90">
        <v>275.27</v>
      </c>
      <c r="E15" s="91">
        <v>60</v>
      </c>
    </row>
    <row r="16" spans="1:5" ht="13.5" customHeight="1" x14ac:dyDescent="0.35">
      <c r="A16" s="82" t="s">
        <v>31</v>
      </c>
      <c r="B16" s="83">
        <v>140</v>
      </c>
      <c r="C16" s="84">
        <v>23593</v>
      </c>
      <c r="D16" s="85">
        <v>214.7</v>
      </c>
      <c r="E16" s="86">
        <v>60</v>
      </c>
    </row>
    <row r="17" spans="1:5" ht="13.5" customHeight="1" x14ac:dyDescent="0.35">
      <c r="A17" s="87" t="s">
        <v>464</v>
      </c>
      <c r="B17" s="88">
        <v>150</v>
      </c>
      <c r="C17" s="89">
        <v>27372</v>
      </c>
      <c r="D17" s="90">
        <v>248.84</v>
      </c>
      <c r="E17" s="91">
        <v>60</v>
      </c>
    </row>
    <row r="18" spans="1:5" ht="13.5" customHeight="1" x14ac:dyDescent="0.35">
      <c r="A18" s="82" t="s">
        <v>33</v>
      </c>
      <c r="B18" s="83">
        <v>160</v>
      </c>
      <c r="C18" s="84">
        <v>28616</v>
      </c>
      <c r="D18" s="85">
        <v>260.41000000000003</v>
      </c>
      <c r="E18" s="86">
        <v>60</v>
      </c>
    </row>
    <row r="19" spans="1:5" ht="13.5" customHeight="1" x14ac:dyDescent="0.35">
      <c r="A19" s="87" t="s">
        <v>465</v>
      </c>
      <c r="B19" s="88">
        <v>170</v>
      </c>
      <c r="C19" s="89">
        <v>43237</v>
      </c>
      <c r="D19" s="90">
        <v>393.06</v>
      </c>
      <c r="E19" s="91">
        <v>60</v>
      </c>
    </row>
    <row r="20" spans="1:5" ht="13.5" customHeight="1" x14ac:dyDescent="0.35">
      <c r="A20" s="82" t="s">
        <v>466</v>
      </c>
      <c r="B20" s="83">
        <v>180</v>
      </c>
      <c r="C20" s="84">
        <v>50322</v>
      </c>
      <c r="D20" s="85">
        <v>457.47</v>
      </c>
      <c r="E20" s="86">
        <v>60</v>
      </c>
    </row>
    <row r="21" spans="1:5" ht="13.5" customHeight="1" x14ac:dyDescent="0.35">
      <c r="A21" s="87" t="s">
        <v>467</v>
      </c>
      <c r="B21" s="88">
        <v>190</v>
      </c>
      <c r="C21" s="89">
        <v>55136</v>
      </c>
      <c r="D21" s="90">
        <v>501.24</v>
      </c>
      <c r="E21" s="91">
        <v>60</v>
      </c>
    </row>
    <row r="22" spans="1:5" ht="13.5" customHeight="1" x14ac:dyDescent="0.35">
      <c r="A22" s="82" t="s">
        <v>468</v>
      </c>
      <c r="B22" s="83">
        <v>200</v>
      </c>
      <c r="C22" s="84">
        <v>81862</v>
      </c>
      <c r="D22" s="85">
        <v>744.2</v>
      </c>
      <c r="E22" s="86">
        <v>60</v>
      </c>
    </row>
    <row r="23" spans="1:5" ht="13.5" customHeight="1" x14ac:dyDescent="0.35">
      <c r="A23" s="87" t="s">
        <v>221</v>
      </c>
      <c r="B23" s="88">
        <v>220</v>
      </c>
      <c r="C23" s="89">
        <v>84013</v>
      </c>
      <c r="D23" s="90">
        <v>764.52</v>
      </c>
      <c r="E23" s="91">
        <v>60</v>
      </c>
    </row>
    <row r="24" spans="1:5" ht="13.5" customHeight="1" x14ac:dyDescent="0.35">
      <c r="A24" s="82" t="s">
        <v>469</v>
      </c>
      <c r="B24" s="83">
        <v>90</v>
      </c>
      <c r="C24" s="84">
        <v>12058</v>
      </c>
      <c r="D24" s="85">
        <v>109.62</v>
      </c>
      <c r="E24" s="86">
        <v>60</v>
      </c>
    </row>
    <row r="25" spans="1:5" ht="13.5" customHeight="1" x14ac:dyDescent="0.35">
      <c r="A25" s="87" t="s">
        <v>470</v>
      </c>
      <c r="B25" s="88">
        <v>95</v>
      </c>
      <c r="C25" s="89">
        <v>16511</v>
      </c>
      <c r="D25" s="90">
        <v>150.1</v>
      </c>
      <c r="E25" s="91">
        <v>60</v>
      </c>
    </row>
    <row r="26" spans="1:5" ht="13.5" customHeight="1" x14ac:dyDescent="0.35">
      <c r="A26" s="82" t="s">
        <v>471</v>
      </c>
      <c r="B26" s="83">
        <v>130</v>
      </c>
      <c r="C26" s="84">
        <v>28013</v>
      </c>
      <c r="D26" s="85">
        <v>254.66</v>
      </c>
      <c r="E26" s="86">
        <v>60</v>
      </c>
    </row>
    <row r="27" spans="1:5" ht="13.5" customHeight="1" x14ac:dyDescent="0.35">
      <c r="A27" s="87" t="s">
        <v>472</v>
      </c>
      <c r="B27" s="88">
        <v>140</v>
      </c>
      <c r="C27" s="89">
        <v>42691</v>
      </c>
      <c r="D27" s="90">
        <v>388.1</v>
      </c>
      <c r="E27" s="91">
        <v>60</v>
      </c>
    </row>
    <row r="28" spans="1:5" ht="13.5" customHeight="1" x14ac:dyDescent="0.35">
      <c r="A28" s="82" t="s">
        <v>473</v>
      </c>
      <c r="B28" s="83">
        <v>150</v>
      </c>
      <c r="C28" s="84">
        <v>49710</v>
      </c>
      <c r="D28" s="85">
        <v>451.91</v>
      </c>
      <c r="E28" s="86">
        <v>60</v>
      </c>
    </row>
    <row r="29" spans="1:5" ht="13.5" customHeight="1" x14ac:dyDescent="0.35">
      <c r="A29" s="87" t="s">
        <v>474</v>
      </c>
      <c r="B29" s="88">
        <v>120</v>
      </c>
      <c r="C29" s="89">
        <v>11409</v>
      </c>
      <c r="D29" s="90">
        <v>103.72</v>
      </c>
      <c r="E29" s="91">
        <v>60</v>
      </c>
    </row>
    <row r="30" spans="1:5" ht="13.5" customHeight="1" x14ac:dyDescent="0.35">
      <c r="A30" s="82" t="s">
        <v>475</v>
      </c>
      <c r="B30" s="83">
        <v>140</v>
      </c>
      <c r="C30" s="84">
        <v>21078</v>
      </c>
      <c r="D30" s="85">
        <v>191.62</v>
      </c>
      <c r="E30" s="86">
        <v>60</v>
      </c>
    </row>
    <row r="31" spans="1:5" ht="13.5" customHeight="1" x14ac:dyDescent="0.35">
      <c r="A31" s="87" t="s">
        <v>476</v>
      </c>
      <c r="B31" s="88">
        <v>150</v>
      </c>
      <c r="C31" s="89">
        <v>23433</v>
      </c>
      <c r="D31" s="90">
        <v>213.03</v>
      </c>
      <c r="E31" s="91">
        <v>60</v>
      </c>
    </row>
    <row r="32" spans="1:5" ht="13.5" customHeight="1" x14ac:dyDescent="0.35">
      <c r="A32" s="82" t="s">
        <v>477</v>
      </c>
      <c r="B32" s="83">
        <v>170</v>
      </c>
      <c r="C32" s="84">
        <v>34381</v>
      </c>
      <c r="D32" s="85">
        <v>312.55</v>
      </c>
      <c r="E32" s="86">
        <v>60</v>
      </c>
    </row>
    <row r="33" spans="1:5" ht="13.5" customHeight="1" x14ac:dyDescent="0.35">
      <c r="A33" s="87" t="s">
        <v>478</v>
      </c>
      <c r="B33" s="88">
        <v>180</v>
      </c>
      <c r="C33" s="89">
        <v>35178</v>
      </c>
      <c r="D33" s="90">
        <v>319.8</v>
      </c>
      <c r="E33" s="91">
        <v>60</v>
      </c>
    </row>
    <row r="34" spans="1:5" ht="13.5" customHeight="1" x14ac:dyDescent="0.35">
      <c r="A34" s="82" t="s">
        <v>479</v>
      </c>
      <c r="B34" s="83">
        <v>190</v>
      </c>
      <c r="C34" s="84">
        <v>37052</v>
      </c>
      <c r="D34" s="85">
        <v>336.84</v>
      </c>
      <c r="E34" s="86">
        <v>60</v>
      </c>
    </row>
    <row r="35" spans="1:5" ht="13.5" customHeight="1" x14ac:dyDescent="0.35">
      <c r="A35" s="87" t="s">
        <v>480</v>
      </c>
      <c r="B35" s="88">
        <v>200</v>
      </c>
      <c r="C35" s="89">
        <v>47045</v>
      </c>
      <c r="D35" s="90">
        <v>427.68</v>
      </c>
      <c r="E35" s="91">
        <v>60</v>
      </c>
    </row>
    <row r="36" spans="1:5" ht="13.5" customHeight="1" x14ac:dyDescent="0.35">
      <c r="A36" s="82" t="s">
        <v>222</v>
      </c>
      <c r="B36" s="83">
        <v>220</v>
      </c>
      <c r="C36" s="84">
        <v>54559</v>
      </c>
      <c r="D36" s="85">
        <v>496.49</v>
      </c>
      <c r="E36" s="86">
        <v>60</v>
      </c>
    </row>
    <row r="37" spans="1:5" ht="13.5" customHeight="1" x14ac:dyDescent="0.35">
      <c r="A37" s="87" t="s">
        <v>224</v>
      </c>
      <c r="B37" s="88">
        <v>240</v>
      </c>
      <c r="C37" s="89">
        <v>102537</v>
      </c>
      <c r="D37" s="90">
        <v>932.15</v>
      </c>
      <c r="E37" s="91">
        <v>60</v>
      </c>
    </row>
    <row r="38" spans="1:5" ht="13.5" customHeight="1" x14ac:dyDescent="0.35">
      <c r="A38" s="82" t="s">
        <v>225</v>
      </c>
      <c r="B38" s="83">
        <v>260</v>
      </c>
      <c r="C38" s="84">
        <v>75525</v>
      </c>
      <c r="D38" s="85">
        <v>687.28</v>
      </c>
      <c r="E38" s="86">
        <v>60</v>
      </c>
    </row>
    <row r="39" spans="1:5" ht="13.5" customHeight="1" x14ac:dyDescent="0.35">
      <c r="A39" s="87" t="s">
        <v>481</v>
      </c>
      <c r="B39" s="88">
        <v>280</v>
      </c>
      <c r="C39" s="89">
        <v>134984</v>
      </c>
      <c r="D39" s="90">
        <v>1227.1300000000001</v>
      </c>
      <c r="E39" s="91">
        <v>60</v>
      </c>
    </row>
    <row r="40" spans="1:5" ht="13.5" customHeight="1" x14ac:dyDescent="0.35">
      <c r="A40" s="82" t="s">
        <v>482</v>
      </c>
      <c r="B40" s="83">
        <v>300</v>
      </c>
      <c r="C40" s="84">
        <v>98745</v>
      </c>
      <c r="D40" s="85">
        <v>897.68</v>
      </c>
      <c r="E40" s="86">
        <v>60</v>
      </c>
    </row>
    <row r="41" spans="1:5" ht="13.5" customHeight="1" x14ac:dyDescent="0.35">
      <c r="A41" s="87" t="s">
        <v>483</v>
      </c>
      <c r="B41" s="88">
        <v>320</v>
      </c>
      <c r="C41" s="89">
        <v>169452</v>
      </c>
      <c r="D41" s="90">
        <v>1540.47</v>
      </c>
      <c r="E41" s="91">
        <v>60</v>
      </c>
    </row>
    <row r="42" spans="1:5" ht="13.5" customHeight="1" x14ac:dyDescent="0.35">
      <c r="A42" s="82" t="s">
        <v>484</v>
      </c>
      <c r="B42" s="83">
        <v>130</v>
      </c>
      <c r="C42" s="84">
        <v>18850</v>
      </c>
      <c r="D42" s="85">
        <v>171.36</v>
      </c>
      <c r="E42" s="86">
        <v>60</v>
      </c>
    </row>
    <row r="43" spans="1:5" ht="13.5" customHeight="1" x14ac:dyDescent="0.35">
      <c r="A43" s="87" t="s">
        <v>226</v>
      </c>
      <c r="B43" s="88">
        <v>160</v>
      </c>
      <c r="C43" s="89">
        <v>33826</v>
      </c>
      <c r="D43" s="90">
        <v>307.82</v>
      </c>
      <c r="E43" s="91">
        <v>60</v>
      </c>
    </row>
    <row r="44" spans="1:5" ht="13.5" customHeight="1" x14ac:dyDescent="0.35">
      <c r="A44" s="82" t="s">
        <v>228</v>
      </c>
      <c r="B44" s="83">
        <v>170</v>
      </c>
      <c r="C44" s="84">
        <v>35456</v>
      </c>
      <c r="D44" s="85">
        <v>322.64999999999998</v>
      </c>
      <c r="E44" s="86">
        <v>60</v>
      </c>
    </row>
    <row r="45" spans="1:5" ht="13.5" customHeight="1" x14ac:dyDescent="0.35">
      <c r="A45" s="87" t="s">
        <v>34</v>
      </c>
      <c r="B45" s="88">
        <v>180</v>
      </c>
      <c r="C45" s="89">
        <v>64900</v>
      </c>
      <c r="D45" s="90">
        <v>590.59</v>
      </c>
      <c r="E45" s="91">
        <v>60</v>
      </c>
    </row>
    <row r="46" spans="1:5" ht="13.5" customHeight="1" x14ac:dyDescent="0.35">
      <c r="A46" s="82" t="s">
        <v>229</v>
      </c>
      <c r="B46" s="83">
        <v>190</v>
      </c>
      <c r="C46" s="84">
        <v>67016</v>
      </c>
      <c r="D46" s="85">
        <v>609.85</v>
      </c>
      <c r="E46" s="86">
        <v>60</v>
      </c>
    </row>
    <row r="47" spans="1:5" ht="13.5" customHeight="1" x14ac:dyDescent="0.35">
      <c r="A47" s="87" t="s">
        <v>485</v>
      </c>
      <c r="B47" s="88">
        <v>200</v>
      </c>
      <c r="C47" s="89">
        <v>57870</v>
      </c>
      <c r="D47" s="90">
        <v>526.09</v>
      </c>
      <c r="E47" s="91">
        <v>60</v>
      </c>
    </row>
    <row r="48" spans="1:5" ht="13.5" customHeight="1" x14ac:dyDescent="0.35">
      <c r="A48" s="82" t="s">
        <v>32</v>
      </c>
      <c r="B48" s="83">
        <v>220</v>
      </c>
      <c r="C48" s="84">
        <v>74531</v>
      </c>
      <c r="D48" s="85">
        <v>678.23</v>
      </c>
      <c r="E48" s="86">
        <v>60</v>
      </c>
    </row>
    <row r="49" spans="1:6" ht="13.5" customHeight="1" x14ac:dyDescent="0.35">
      <c r="A49" s="87" t="s">
        <v>29</v>
      </c>
      <c r="B49" s="88">
        <v>240</v>
      </c>
      <c r="C49" s="89">
        <v>58110</v>
      </c>
      <c r="D49" s="90">
        <v>797.24</v>
      </c>
      <c r="E49" s="91">
        <v>60</v>
      </c>
      <c r="F49" t="s">
        <v>486</v>
      </c>
    </row>
    <row r="50" spans="1:6" ht="13.5" customHeight="1" x14ac:dyDescent="0.35">
      <c r="A50" s="82" t="s">
        <v>230</v>
      </c>
      <c r="B50" s="83">
        <v>260</v>
      </c>
      <c r="C50" s="84">
        <v>150761</v>
      </c>
      <c r="D50" s="85">
        <v>1371.93</v>
      </c>
      <c r="E50" s="86">
        <v>60</v>
      </c>
    </row>
    <row r="51" spans="1:6" ht="13.5" customHeight="1" x14ac:dyDescent="0.35">
      <c r="A51" s="87" t="s">
        <v>487</v>
      </c>
      <c r="B51" s="88">
        <v>280</v>
      </c>
      <c r="C51" s="89">
        <v>134692</v>
      </c>
      <c r="D51" s="90">
        <v>1224.47</v>
      </c>
      <c r="E51" s="91">
        <v>60</v>
      </c>
    </row>
    <row r="52" spans="1:6" ht="13.5" customHeight="1" x14ac:dyDescent="0.35">
      <c r="A52" s="82" t="s">
        <v>231</v>
      </c>
      <c r="B52" s="83">
        <v>300</v>
      </c>
      <c r="C52" s="84">
        <v>197823</v>
      </c>
      <c r="D52" s="85">
        <v>1800.19</v>
      </c>
      <c r="E52" s="86">
        <v>60</v>
      </c>
    </row>
    <row r="53" spans="1:6" ht="13.5" customHeight="1" x14ac:dyDescent="0.35">
      <c r="A53" s="87" t="s">
        <v>232</v>
      </c>
      <c r="B53" s="88">
        <v>320</v>
      </c>
      <c r="C53" s="89">
        <v>185965</v>
      </c>
      <c r="D53" s="90">
        <v>1692.28</v>
      </c>
      <c r="E53" s="91">
        <v>90</v>
      </c>
    </row>
    <row r="54" spans="1:6" ht="13.5" customHeight="1" x14ac:dyDescent="0.35">
      <c r="A54" s="82" t="s">
        <v>234</v>
      </c>
      <c r="B54" s="83">
        <v>340</v>
      </c>
      <c r="C54" s="84">
        <v>215156</v>
      </c>
      <c r="D54" s="85">
        <v>1957.92</v>
      </c>
      <c r="E54" s="86">
        <v>90</v>
      </c>
    </row>
    <row r="55" spans="1:6" ht="13.5" customHeight="1" x14ac:dyDescent="0.35">
      <c r="A55" s="87" t="s">
        <v>488</v>
      </c>
      <c r="B55" s="88">
        <v>360</v>
      </c>
      <c r="C55" s="89">
        <v>298196</v>
      </c>
      <c r="D55" s="90">
        <v>2710.87</v>
      </c>
      <c r="E55" s="91">
        <v>90</v>
      </c>
    </row>
    <row r="56" spans="1:6" ht="13.5" customHeight="1" x14ac:dyDescent="0.35">
      <c r="A56" s="82" t="s">
        <v>35</v>
      </c>
      <c r="B56" s="83">
        <v>380</v>
      </c>
      <c r="C56" s="84">
        <v>456689</v>
      </c>
      <c r="D56" s="85">
        <v>4151.72</v>
      </c>
      <c r="E56" s="86">
        <v>90</v>
      </c>
    </row>
    <row r="57" spans="1:6" ht="13.5" customHeight="1" x14ac:dyDescent="0.35">
      <c r="A57" s="87" t="s">
        <v>30</v>
      </c>
      <c r="B57" s="88">
        <v>400</v>
      </c>
      <c r="C57" s="89">
        <v>469516</v>
      </c>
      <c r="D57" s="90">
        <v>4268.33</v>
      </c>
      <c r="E57" s="91">
        <v>120</v>
      </c>
    </row>
    <row r="58" spans="1:6" ht="13.5" customHeight="1" x14ac:dyDescent="0.35">
      <c r="A58" s="82" t="s">
        <v>236</v>
      </c>
      <c r="B58" s="83">
        <v>420</v>
      </c>
      <c r="C58" s="84">
        <v>583358</v>
      </c>
      <c r="D58" s="85">
        <v>5303.25</v>
      </c>
      <c r="E58" s="86">
        <v>120</v>
      </c>
    </row>
    <row r="59" spans="1:6" ht="13.5" customHeight="1" x14ac:dyDescent="0.35">
      <c r="A59" s="87" t="s">
        <v>237</v>
      </c>
      <c r="B59" s="88">
        <v>440</v>
      </c>
      <c r="C59" s="89">
        <v>725745</v>
      </c>
      <c r="D59" s="90">
        <v>6597.68</v>
      </c>
      <c r="E59" s="91">
        <v>120</v>
      </c>
    </row>
    <row r="60" spans="1:6" ht="13.5" customHeight="1" x14ac:dyDescent="0.35">
      <c r="A60" s="82" t="s">
        <v>238</v>
      </c>
      <c r="B60" s="83">
        <v>460</v>
      </c>
      <c r="C60" s="84">
        <v>720030</v>
      </c>
      <c r="D60" s="85">
        <v>6545.72</v>
      </c>
      <c r="E60" s="86">
        <v>120</v>
      </c>
    </row>
    <row r="61" spans="1:6" ht="13.5" customHeight="1" x14ac:dyDescent="0.35">
      <c r="A61" s="87" t="s">
        <v>239</v>
      </c>
      <c r="B61" s="88">
        <v>480</v>
      </c>
      <c r="C61" s="89">
        <v>924152</v>
      </c>
      <c r="D61" s="90">
        <v>8401.3799999999992</v>
      </c>
      <c r="E61" s="91">
        <v>120</v>
      </c>
    </row>
    <row r="62" spans="1:6" ht="13.5" customHeight="1" x14ac:dyDescent="0.35">
      <c r="A62" s="82" t="s">
        <v>489</v>
      </c>
      <c r="B62" s="83">
        <v>110</v>
      </c>
      <c r="C62" s="84">
        <v>21097</v>
      </c>
      <c r="D62" s="85">
        <v>191.79</v>
      </c>
      <c r="E62" s="86">
        <v>60</v>
      </c>
    </row>
    <row r="63" spans="1:6" ht="13.5" customHeight="1" x14ac:dyDescent="0.35">
      <c r="A63" s="87" t="s">
        <v>490</v>
      </c>
      <c r="B63" s="88">
        <v>120</v>
      </c>
      <c r="C63" s="89">
        <v>23051</v>
      </c>
      <c r="D63" s="90">
        <v>209.55</v>
      </c>
      <c r="E63" s="91">
        <v>60</v>
      </c>
    </row>
    <row r="64" spans="1:6" ht="13.5" customHeight="1" x14ac:dyDescent="0.35">
      <c r="A64" s="82" t="s">
        <v>491</v>
      </c>
      <c r="B64" s="83">
        <v>130</v>
      </c>
      <c r="C64" s="84">
        <v>23282</v>
      </c>
      <c r="D64" s="85">
        <v>211.65</v>
      </c>
      <c r="E64" s="86">
        <v>60</v>
      </c>
    </row>
    <row r="65" spans="1:5" ht="13.5" customHeight="1" x14ac:dyDescent="0.35">
      <c r="A65" s="87" t="s">
        <v>492</v>
      </c>
      <c r="B65" s="88">
        <v>140</v>
      </c>
      <c r="C65" s="89">
        <v>28611</v>
      </c>
      <c r="D65" s="90">
        <v>260.10000000000002</v>
      </c>
      <c r="E65" s="91">
        <v>60</v>
      </c>
    </row>
    <row r="66" spans="1:5" ht="13.5" customHeight="1" x14ac:dyDescent="0.35">
      <c r="A66" s="82" t="s">
        <v>493</v>
      </c>
      <c r="B66" s="83">
        <v>160</v>
      </c>
      <c r="C66" s="84">
        <v>44937</v>
      </c>
      <c r="D66" s="85">
        <v>408.52</v>
      </c>
      <c r="E66" s="86">
        <v>60</v>
      </c>
    </row>
    <row r="67" spans="1:5" ht="13.5" customHeight="1" x14ac:dyDescent="0.35">
      <c r="A67" s="87" t="s">
        <v>494</v>
      </c>
      <c r="B67" s="88">
        <v>180</v>
      </c>
      <c r="C67" s="89">
        <v>58101</v>
      </c>
      <c r="D67" s="90">
        <v>528.19000000000005</v>
      </c>
      <c r="E67" s="91">
        <v>60</v>
      </c>
    </row>
    <row r="68" spans="1:5" ht="13.5" customHeight="1" x14ac:dyDescent="0.35">
      <c r="A68" s="82" t="s">
        <v>495</v>
      </c>
      <c r="B68" s="83">
        <v>150</v>
      </c>
      <c r="C68" s="84">
        <v>34796</v>
      </c>
      <c r="D68" s="85">
        <v>316.33</v>
      </c>
      <c r="E68" s="86">
        <v>60</v>
      </c>
    </row>
    <row r="69" spans="1:5" ht="13.5" customHeight="1" x14ac:dyDescent="0.35">
      <c r="A69" s="87" t="s">
        <v>240</v>
      </c>
      <c r="B69" s="88">
        <v>160</v>
      </c>
      <c r="C69" s="89">
        <v>40786</v>
      </c>
      <c r="D69" s="90">
        <v>370.78</v>
      </c>
      <c r="E69" s="91">
        <v>60</v>
      </c>
    </row>
    <row r="70" spans="1:5" ht="13.5" customHeight="1" x14ac:dyDescent="0.35">
      <c r="A70" s="82" t="s">
        <v>496</v>
      </c>
      <c r="B70" s="83">
        <v>170</v>
      </c>
      <c r="C70" s="84">
        <v>49214</v>
      </c>
      <c r="D70" s="85">
        <v>447.4</v>
      </c>
      <c r="E70" s="86">
        <v>60</v>
      </c>
    </row>
    <row r="71" spans="1:5" ht="13.5" customHeight="1" x14ac:dyDescent="0.35">
      <c r="A71" s="87" t="s">
        <v>497</v>
      </c>
      <c r="B71" s="88">
        <v>190</v>
      </c>
      <c r="C71" s="89">
        <v>60016</v>
      </c>
      <c r="D71" s="90">
        <v>545.6</v>
      </c>
      <c r="E71" s="91">
        <v>60</v>
      </c>
    </row>
    <row r="72" spans="1:5" ht="13.5" customHeight="1" x14ac:dyDescent="0.35">
      <c r="A72" s="82" t="s">
        <v>242</v>
      </c>
      <c r="B72" s="83">
        <v>200</v>
      </c>
      <c r="C72" s="84">
        <v>86660</v>
      </c>
      <c r="D72" s="85">
        <v>787.82</v>
      </c>
      <c r="E72" s="86">
        <v>60</v>
      </c>
    </row>
    <row r="73" spans="1:5" ht="13.5" customHeight="1" x14ac:dyDescent="0.35">
      <c r="A73" s="87" t="s">
        <v>243</v>
      </c>
      <c r="B73" s="88">
        <v>220</v>
      </c>
      <c r="C73" s="89">
        <v>96787</v>
      </c>
      <c r="D73" s="90">
        <v>879.88</v>
      </c>
      <c r="E73" s="91">
        <v>60</v>
      </c>
    </row>
    <row r="74" spans="1:5" ht="13.5" customHeight="1" x14ac:dyDescent="0.35">
      <c r="A74" s="82" t="s">
        <v>498</v>
      </c>
      <c r="B74" s="83">
        <v>240</v>
      </c>
      <c r="C74" s="84">
        <v>102125</v>
      </c>
      <c r="D74" s="85">
        <v>928.41</v>
      </c>
      <c r="E74" s="86">
        <v>60</v>
      </c>
    </row>
    <row r="75" spans="1:5" ht="13.5" customHeight="1" x14ac:dyDescent="0.35">
      <c r="A75" s="87" t="s">
        <v>499</v>
      </c>
      <c r="B75" s="88">
        <v>280</v>
      </c>
      <c r="C75" s="89">
        <v>184855</v>
      </c>
      <c r="D75" s="90">
        <v>1680.5</v>
      </c>
      <c r="E75" s="91">
        <v>60</v>
      </c>
    </row>
    <row r="76" spans="1:5" ht="13.5" customHeight="1" x14ac:dyDescent="0.35">
      <c r="A76" s="82" t="s">
        <v>244</v>
      </c>
      <c r="B76" s="83">
        <v>300</v>
      </c>
      <c r="C76" s="84">
        <v>273300</v>
      </c>
      <c r="D76" s="85">
        <v>2484.54</v>
      </c>
      <c r="E76" s="86">
        <v>60</v>
      </c>
    </row>
    <row r="77" spans="1:5" ht="13.5" customHeight="1" x14ac:dyDescent="0.35">
      <c r="A77" s="87" t="s">
        <v>245</v>
      </c>
      <c r="B77" s="88">
        <v>360</v>
      </c>
      <c r="C77" s="89">
        <v>572015</v>
      </c>
      <c r="D77" s="90">
        <v>5200.1400000000003</v>
      </c>
      <c r="E77" s="91">
        <v>90</v>
      </c>
    </row>
    <row r="78" spans="1:5" ht="13.5" customHeight="1" x14ac:dyDescent="0.35">
      <c r="A78" s="82" t="s">
        <v>246</v>
      </c>
      <c r="B78" s="83">
        <v>400</v>
      </c>
      <c r="C78" s="84">
        <v>729759</v>
      </c>
      <c r="D78" s="85">
        <v>6634.17</v>
      </c>
      <c r="E78" s="86">
        <v>120</v>
      </c>
    </row>
    <row r="79" spans="1:5" ht="13.5" customHeight="1" x14ac:dyDescent="0.35">
      <c r="A79" s="87" t="s">
        <v>500</v>
      </c>
      <c r="B79" s="88">
        <v>440</v>
      </c>
      <c r="C79" s="89">
        <v>1000306</v>
      </c>
      <c r="D79" s="90">
        <v>9093.69</v>
      </c>
      <c r="E79" s="91">
        <v>120</v>
      </c>
    </row>
    <row r="80" spans="1:5" ht="13.5" customHeight="1" x14ac:dyDescent="0.35">
      <c r="A80" s="82" t="s">
        <v>501</v>
      </c>
      <c r="B80" s="83">
        <v>480</v>
      </c>
      <c r="C80" s="84">
        <v>1407664</v>
      </c>
      <c r="D80" s="85">
        <v>12796.94</v>
      </c>
      <c r="E80" s="86">
        <v>120</v>
      </c>
    </row>
    <row r="81" spans="1:5" ht="13.5" customHeight="1" x14ac:dyDescent="0.35">
      <c r="A81" s="87" t="s">
        <v>502</v>
      </c>
      <c r="B81" s="88">
        <v>500</v>
      </c>
      <c r="C81" s="89">
        <v>1169425</v>
      </c>
      <c r="D81" s="90">
        <v>10631.14</v>
      </c>
      <c r="E81" s="91">
        <v>120</v>
      </c>
    </row>
    <row r="82" spans="1:5" ht="13.5" customHeight="1" x14ac:dyDescent="0.35">
      <c r="A82" s="82" t="s">
        <v>503</v>
      </c>
      <c r="B82" s="83">
        <v>530</v>
      </c>
      <c r="C82" s="84">
        <v>1358346</v>
      </c>
      <c r="D82" s="85">
        <v>12348.6</v>
      </c>
      <c r="E82" s="86">
        <v>120</v>
      </c>
    </row>
    <row r="83" spans="1:5" ht="13.5" customHeight="1" x14ac:dyDescent="0.35">
      <c r="A83" s="87" t="s">
        <v>504</v>
      </c>
      <c r="B83" s="88">
        <v>600</v>
      </c>
      <c r="C83" s="89">
        <v>1743500</v>
      </c>
      <c r="D83" s="90">
        <v>15850</v>
      </c>
      <c r="E83" s="91">
        <v>120</v>
      </c>
    </row>
    <row r="84" spans="1:5" ht="13.5" customHeight="1" x14ac:dyDescent="0.35">
      <c r="A84" s="82" t="s">
        <v>505</v>
      </c>
      <c r="B84" s="83">
        <v>710</v>
      </c>
      <c r="C84" s="84">
        <v>3276350</v>
      </c>
      <c r="D84" s="85">
        <v>29785</v>
      </c>
      <c r="E84" s="86">
        <v>120</v>
      </c>
    </row>
    <row r="85" spans="1:5" ht="13.5" customHeight="1" x14ac:dyDescent="0.35">
      <c r="A85" s="87" t="s">
        <v>506</v>
      </c>
      <c r="B85" s="88">
        <v>750</v>
      </c>
      <c r="C85" s="89">
        <v>4285328</v>
      </c>
      <c r="D85" s="90">
        <v>38957.53</v>
      </c>
      <c r="E85" s="91">
        <v>120</v>
      </c>
    </row>
    <row r="86" spans="1:5" ht="13.5" customHeight="1" x14ac:dyDescent="0.35">
      <c r="A86" s="82" t="s">
        <v>507</v>
      </c>
      <c r="B86" s="83">
        <v>850</v>
      </c>
      <c r="C86" s="84">
        <v>3678400</v>
      </c>
      <c r="D86" s="85">
        <v>33440</v>
      </c>
      <c r="E86" s="86">
        <v>120</v>
      </c>
    </row>
    <row r="87" spans="1:5" ht="13.5" customHeight="1" x14ac:dyDescent="0.35">
      <c r="A87" s="87" t="s">
        <v>508</v>
      </c>
      <c r="B87" s="88">
        <v>750</v>
      </c>
      <c r="C87" s="89">
        <v>1778266</v>
      </c>
      <c r="D87" s="90">
        <v>16166.05</v>
      </c>
      <c r="E87" s="91">
        <v>120</v>
      </c>
    </row>
    <row r="88" spans="1:5" ht="13.5" customHeight="1" x14ac:dyDescent="0.35">
      <c r="A88" s="82" t="s">
        <v>509</v>
      </c>
      <c r="B88" s="83">
        <v>530</v>
      </c>
      <c r="C88" s="84">
        <v>2631621</v>
      </c>
      <c r="D88" s="85">
        <v>23923.83</v>
      </c>
      <c r="E88" s="86">
        <v>120</v>
      </c>
    </row>
    <row r="89" spans="1:5" ht="13.5" customHeight="1" x14ac:dyDescent="0.35">
      <c r="A89" s="87" t="s">
        <v>510</v>
      </c>
      <c r="B89" s="88">
        <v>560</v>
      </c>
      <c r="C89" s="89">
        <v>3142442</v>
      </c>
      <c r="D89" s="90">
        <v>28567.65</v>
      </c>
      <c r="E89" s="91">
        <v>120</v>
      </c>
    </row>
    <row r="90" spans="1:5" ht="13.5" customHeight="1" x14ac:dyDescent="0.35">
      <c r="A90" s="82" t="s">
        <v>511</v>
      </c>
      <c r="B90" s="83">
        <v>600</v>
      </c>
      <c r="C90" s="84">
        <v>4537095</v>
      </c>
      <c r="D90" s="85">
        <v>41246.32</v>
      </c>
      <c r="E90" s="86">
        <v>120</v>
      </c>
    </row>
    <row r="91" spans="1:5" ht="13.5" customHeight="1" x14ac:dyDescent="0.35">
      <c r="A91" s="87" t="s">
        <v>512</v>
      </c>
      <c r="B91" s="88">
        <v>500</v>
      </c>
      <c r="C91" s="89">
        <v>1604126</v>
      </c>
      <c r="D91" s="90">
        <v>14582.96</v>
      </c>
      <c r="E91" s="91">
        <v>120</v>
      </c>
    </row>
    <row r="92" spans="1:5" ht="13.5" customHeight="1" x14ac:dyDescent="0.35">
      <c r="A92" s="82" t="s">
        <v>513</v>
      </c>
      <c r="B92" s="83">
        <v>530</v>
      </c>
      <c r="C92" s="84">
        <v>1801124</v>
      </c>
      <c r="D92" s="85">
        <v>16373.85</v>
      </c>
      <c r="E92" s="86">
        <v>120</v>
      </c>
    </row>
    <row r="93" spans="1:5" ht="13.5" customHeight="1" x14ac:dyDescent="0.35">
      <c r="A93" s="87" t="s">
        <v>514</v>
      </c>
      <c r="B93" s="88">
        <v>600</v>
      </c>
      <c r="C93" s="89">
        <v>1974378</v>
      </c>
      <c r="D93" s="90">
        <v>17948.89</v>
      </c>
      <c r="E93" s="91">
        <v>120</v>
      </c>
    </row>
    <row r="94" spans="1:5" ht="13.5" customHeight="1" x14ac:dyDescent="0.35">
      <c r="A94" s="82" t="s">
        <v>515</v>
      </c>
      <c r="B94" s="83">
        <v>710</v>
      </c>
      <c r="C94" s="84">
        <v>4420222</v>
      </c>
      <c r="D94" s="85">
        <v>40183.839999999997</v>
      </c>
      <c r="E94" s="86">
        <v>120</v>
      </c>
    </row>
    <row r="95" spans="1:5" ht="13.5" customHeight="1" x14ac:dyDescent="0.35">
      <c r="A95" s="87" t="s">
        <v>516</v>
      </c>
      <c r="B95" s="88">
        <v>850</v>
      </c>
      <c r="C95" s="89">
        <v>5826700</v>
      </c>
      <c r="D95" s="90">
        <v>52970</v>
      </c>
      <c r="E95" s="91">
        <v>120</v>
      </c>
    </row>
    <row r="96" spans="1:5" x14ac:dyDescent="0.35">
      <c r="A96" s="82" t="s">
        <v>720</v>
      </c>
      <c r="B96" s="206">
        <v>160</v>
      </c>
      <c r="C96" s="207">
        <v>30000</v>
      </c>
      <c r="D96" s="85">
        <f>C96/108</f>
        <v>277.77777777777777</v>
      </c>
      <c r="E96" s="86">
        <v>60</v>
      </c>
    </row>
    <row r="97" spans="1:5" x14ac:dyDescent="0.35">
      <c r="A97" s="87" t="s">
        <v>721</v>
      </c>
      <c r="B97" s="88">
        <v>170</v>
      </c>
      <c r="C97" s="89">
        <v>34000</v>
      </c>
      <c r="D97" s="90">
        <f>C97/108</f>
        <v>314.81481481481484</v>
      </c>
      <c r="E97" s="91"/>
    </row>
  </sheetData>
  <dataValidations count="1">
    <dataValidation type="list" allowBlank="1" showInputMessage="1" showErrorMessage="1" promptTitle="Bearing" prompt="Select form List" sqref="A96:A97" xr:uid="{4DF24811-F62D-4307-AC7F-AEAA15B57F43}">
      <formula1>$A$2:$A$150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2"/>
  <sheetViews>
    <sheetView showGridLines="0" topLeftCell="A62" zoomScaleNormal="100" workbookViewId="0">
      <selection activeCell="E81" sqref="E81:E82"/>
    </sheetView>
  </sheetViews>
  <sheetFormatPr defaultColWidth="8.6328125" defaultRowHeight="14.5" x14ac:dyDescent="0.35"/>
  <cols>
    <col min="1" max="1" width="16.36328125" customWidth="1"/>
    <col min="2" max="2" width="10.1796875" customWidth="1"/>
    <col min="3" max="3" width="8.1796875" customWidth="1"/>
    <col min="4" max="4" width="8.08984375" customWidth="1"/>
    <col min="5" max="5" width="11" customWidth="1"/>
  </cols>
  <sheetData>
    <row r="1" spans="1:5" ht="15.75" customHeight="1" x14ac:dyDescent="0.35">
      <c r="A1" s="19" t="s">
        <v>517</v>
      </c>
      <c r="B1" s="19" t="s">
        <v>248</v>
      </c>
      <c r="C1" s="19" t="s">
        <v>455</v>
      </c>
      <c r="D1" s="19" t="s">
        <v>454</v>
      </c>
      <c r="E1" s="19" t="s">
        <v>209</v>
      </c>
    </row>
    <row r="2" spans="1:5" ht="13.5" customHeight="1" x14ac:dyDescent="0.35">
      <c r="A2" s="82" t="s">
        <v>456</v>
      </c>
      <c r="B2" s="92" t="s">
        <v>518</v>
      </c>
      <c r="C2" s="85">
        <v>16.829999999999998</v>
      </c>
      <c r="D2" s="84">
        <v>1851</v>
      </c>
      <c r="E2" s="86">
        <v>30</v>
      </c>
    </row>
    <row r="3" spans="1:5" ht="13.5" customHeight="1" x14ac:dyDescent="0.35">
      <c r="A3" s="87" t="s">
        <v>457</v>
      </c>
      <c r="B3" s="93" t="s">
        <v>519</v>
      </c>
      <c r="C3" s="90">
        <v>4.0599999999999996</v>
      </c>
      <c r="D3" s="89">
        <v>447</v>
      </c>
      <c r="E3" s="91">
        <v>30</v>
      </c>
    </row>
    <row r="4" spans="1:5" ht="13.5" customHeight="1" x14ac:dyDescent="0.35">
      <c r="A4" s="82" t="s">
        <v>458</v>
      </c>
      <c r="B4" s="92" t="s">
        <v>520</v>
      </c>
      <c r="C4" s="85">
        <v>4.5999999999999996</v>
      </c>
      <c r="D4" s="84">
        <v>506</v>
      </c>
      <c r="E4" s="86">
        <v>30</v>
      </c>
    </row>
    <row r="5" spans="1:5" ht="13.5" customHeight="1" x14ac:dyDescent="0.35">
      <c r="A5" s="87" t="s">
        <v>459</v>
      </c>
      <c r="B5" s="93" t="s">
        <v>521</v>
      </c>
      <c r="C5" s="90">
        <v>4.68</v>
      </c>
      <c r="D5" s="89">
        <v>515</v>
      </c>
      <c r="E5" s="91">
        <v>30</v>
      </c>
    </row>
    <row r="6" spans="1:5" ht="13.5" customHeight="1" x14ac:dyDescent="0.35">
      <c r="A6" s="82" t="s">
        <v>460</v>
      </c>
      <c r="B6" s="92" t="s">
        <v>522</v>
      </c>
      <c r="C6" s="85">
        <v>7.97</v>
      </c>
      <c r="D6" s="84">
        <v>877</v>
      </c>
      <c r="E6" s="86">
        <v>30</v>
      </c>
    </row>
    <row r="7" spans="1:5" ht="13.5" customHeight="1" x14ac:dyDescent="0.35">
      <c r="A7" s="87" t="s">
        <v>461</v>
      </c>
      <c r="B7" s="93" t="s">
        <v>523</v>
      </c>
      <c r="C7" s="90">
        <v>9.6</v>
      </c>
      <c r="D7" s="89">
        <v>1056</v>
      </c>
      <c r="E7" s="91">
        <v>30</v>
      </c>
    </row>
    <row r="8" spans="1:5" ht="13.5" customHeight="1" x14ac:dyDescent="0.35">
      <c r="A8" s="82" t="s">
        <v>462</v>
      </c>
      <c r="B8" s="92" t="s">
        <v>518</v>
      </c>
      <c r="C8" s="85">
        <v>17.670000000000002</v>
      </c>
      <c r="D8" s="84">
        <v>1944</v>
      </c>
      <c r="E8" s="86">
        <v>30</v>
      </c>
    </row>
    <row r="9" spans="1:5" ht="13.5" customHeight="1" x14ac:dyDescent="0.35">
      <c r="A9" s="87" t="s">
        <v>463</v>
      </c>
      <c r="B9" s="93" t="s">
        <v>524</v>
      </c>
      <c r="C9" s="90">
        <v>13.62</v>
      </c>
      <c r="D9" s="89">
        <v>1498</v>
      </c>
      <c r="E9" s="91">
        <v>30</v>
      </c>
    </row>
    <row r="10" spans="1:5" ht="13.5" customHeight="1" x14ac:dyDescent="0.35">
      <c r="A10" s="82" t="s">
        <v>212</v>
      </c>
      <c r="B10" s="92" t="s">
        <v>250</v>
      </c>
      <c r="C10" s="85">
        <v>13</v>
      </c>
      <c r="D10" s="84">
        <v>1430</v>
      </c>
      <c r="E10" s="86">
        <v>30</v>
      </c>
    </row>
    <row r="11" spans="1:5" ht="13.5" customHeight="1" x14ac:dyDescent="0.35">
      <c r="A11" s="87" t="s">
        <v>216</v>
      </c>
      <c r="B11" s="93" t="s">
        <v>251</v>
      </c>
      <c r="C11" s="90">
        <v>17.79</v>
      </c>
      <c r="D11" s="89">
        <v>1957</v>
      </c>
      <c r="E11" s="91">
        <v>30</v>
      </c>
    </row>
    <row r="12" spans="1:5" ht="13.5" customHeight="1" x14ac:dyDescent="0.35">
      <c r="A12" s="82" t="s">
        <v>217</v>
      </c>
      <c r="B12" s="92" t="s">
        <v>252</v>
      </c>
      <c r="C12" s="85">
        <v>20.23</v>
      </c>
      <c r="D12" s="84">
        <v>2225</v>
      </c>
      <c r="E12" s="86">
        <v>30</v>
      </c>
    </row>
    <row r="13" spans="1:5" ht="13.5" customHeight="1" x14ac:dyDescent="0.35">
      <c r="A13" s="87" t="s">
        <v>218</v>
      </c>
      <c r="B13" s="93" t="s">
        <v>253</v>
      </c>
      <c r="C13" s="90">
        <v>13.31</v>
      </c>
      <c r="D13" s="89">
        <v>1464</v>
      </c>
      <c r="E13" s="91">
        <v>30</v>
      </c>
    </row>
    <row r="14" spans="1:5" ht="13.5" customHeight="1" x14ac:dyDescent="0.35">
      <c r="A14" s="82" t="s">
        <v>219</v>
      </c>
      <c r="B14" s="92" t="s">
        <v>254</v>
      </c>
      <c r="C14" s="85">
        <v>28.95</v>
      </c>
      <c r="D14" s="84">
        <v>3185</v>
      </c>
      <c r="E14" s="86">
        <v>30</v>
      </c>
    </row>
    <row r="15" spans="1:5" ht="13.5" customHeight="1" x14ac:dyDescent="0.35">
      <c r="A15" s="87" t="s">
        <v>220</v>
      </c>
      <c r="B15" s="93" t="s">
        <v>255</v>
      </c>
      <c r="C15" s="90">
        <v>28.95</v>
      </c>
      <c r="D15" s="89">
        <v>3185</v>
      </c>
      <c r="E15" s="91">
        <v>30</v>
      </c>
    </row>
    <row r="16" spans="1:5" ht="13.5" customHeight="1" x14ac:dyDescent="0.35">
      <c r="A16" s="82" t="s">
        <v>31</v>
      </c>
      <c r="B16" s="92" t="s">
        <v>43</v>
      </c>
      <c r="C16" s="85">
        <v>52.87</v>
      </c>
      <c r="D16" s="84">
        <v>5816</v>
      </c>
      <c r="E16" s="86">
        <v>30</v>
      </c>
    </row>
    <row r="17" spans="1:5" ht="13.5" customHeight="1" x14ac:dyDescent="0.35">
      <c r="A17" s="87" t="s">
        <v>464</v>
      </c>
      <c r="B17" s="93" t="s">
        <v>525</v>
      </c>
      <c r="C17" s="90">
        <v>71.7</v>
      </c>
      <c r="D17" s="89">
        <v>7887</v>
      </c>
      <c r="E17" s="91">
        <v>30</v>
      </c>
    </row>
    <row r="18" spans="1:5" ht="13.5" customHeight="1" x14ac:dyDescent="0.35">
      <c r="A18" s="82" t="s">
        <v>33</v>
      </c>
      <c r="B18" s="92" t="s">
        <v>45</v>
      </c>
      <c r="C18" s="85">
        <v>45.39</v>
      </c>
      <c r="D18" s="84">
        <v>4993</v>
      </c>
      <c r="E18" s="86">
        <v>30</v>
      </c>
    </row>
    <row r="19" spans="1:5" ht="13.5" customHeight="1" x14ac:dyDescent="0.35">
      <c r="A19" s="87" t="s">
        <v>466</v>
      </c>
      <c r="B19" s="93" t="s">
        <v>46</v>
      </c>
      <c r="C19" s="90">
        <v>125.58</v>
      </c>
      <c r="D19" s="89">
        <v>13814</v>
      </c>
      <c r="E19" s="91">
        <v>30</v>
      </c>
    </row>
    <row r="20" spans="1:5" ht="13.5" customHeight="1" x14ac:dyDescent="0.35">
      <c r="A20" s="82" t="s">
        <v>467</v>
      </c>
      <c r="B20" s="92" t="s">
        <v>526</v>
      </c>
      <c r="C20" s="85">
        <v>89.46</v>
      </c>
      <c r="D20" s="84">
        <v>9841</v>
      </c>
      <c r="E20" s="86">
        <v>30</v>
      </c>
    </row>
    <row r="21" spans="1:5" ht="13.5" customHeight="1" x14ac:dyDescent="0.35">
      <c r="A21" s="87" t="s">
        <v>221</v>
      </c>
      <c r="B21" s="93" t="s">
        <v>262</v>
      </c>
      <c r="C21" s="90">
        <v>375.07</v>
      </c>
      <c r="D21" s="89">
        <v>41258</v>
      </c>
      <c r="E21" s="91">
        <v>30</v>
      </c>
    </row>
    <row r="22" spans="1:5" ht="13.5" customHeight="1" x14ac:dyDescent="0.35">
      <c r="A22" s="82" t="s">
        <v>472</v>
      </c>
      <c r="B22" s="92" t="s">
        <v>43</v>
      </c>
      <c r="C22" s="85">
        <v>52.87</v>
      </c>
      <c r="D22" s="84">
        <v>5816</v>
      </c>
      <c r="E22" s="86">
        <v>30</v>
      </c>
    </row>
    <row r="23" spans="1:5" ht="13.5" customHeight="1" x14ac:dyDescent="0.35">
      <c r="A23" s="87" t="s">
        <v>475</v>
      </c>
      <c r="B23" s="93" t="s">
        <v>527</v>
      </c>
      <c r="C23" s="90">
        <v>69.11</v>
      </c>
      <c r="D23" s="89">
        <v>7602</v>
      </c>
      <c r="E23" s="91">
        <v>30</v>
      </c>
    </row>
    <row r="24" spans="1:5" ht="13.5" customHeight="1" x14ac:dyDescent="0.35">
      <c r="A24" s="82" t="s">
        <v>476</v>
      </c>
      <c r="B24" s="92" t="s">
        <v>528</v>
      </c>
      <c r="C24" s="85">
        <v>80.27</v>
      </c>
      <c r="D24" s="84">
        <v>8830</v>
      </c>
      <c r="E24" s="86">
        <v>30</v>
      </c>
    </row>
    <row r="25" spans="1:5" ht="13.5" customHeight="1" x14ac:dyDescent="0.35">
      <c r="A25" s="87" t="s">
        <v>477</v>
      </c>
      <c r="B25" s="93" t="s">
        <v>529</v>
      </c>
      <c r="C25" s="90">
        <v>122.43</v>
      </c>
      <c r="D25" s="89">
        <v>13467</v>
      </c>
      <c r="E25" s="91">
        <v>30</v>
      </c>
    </row>
    <row r="26" spans="1:5" ht="13.5" customHeight="1" x14ac:dyDescent="0.35">
      <c r="A26" s="82" t="s">
        <v>478</v>
      </c>
      <c r="B26" s="92" t="s">
        <v>530</v>
      </c>
      <c r="C26" s="85">
        <v>110.42</v>
      </c>
      <c r="D26" s="84">
        <v>12146</v>
      </c>
      <c r="E26" s="86">
        <v>30</v>
      </c>
    </row>
    <row r="27" spans="1:5" ht="13.5" customHeight="1" x14ac:dyDescent="0.35">
      <c r="A27" s="87" t="s">
        <v>479</v>
      </c>
      <c r="B27" s="93" t="s">
        <v>531</v>
      </c>
      <c r="C27" s="90">
        <v>127.39</v>
      </c>
      <c r="D27" s="89">
        <v>14013</v>
      </c>
      <c r="E27" s="91">
        <v>30</v>
      </c>
    </row>
    <row r="28" spans="1:5" ht="13.5" customHeight="1" x14ac:dyDescent="0.35">
      <c r="A28" s="82" t="s">
        <v>480</v>
      </c>
      <c r="B28" s="92" t="s">
        <v>532</v>
      </c>
      <c r="C28" s="85">
        <v>168.82</v>
      </c>
      <c r="D28" s="84">
        <v>18570</v>
      </c>
      <c r="E28" s="86">
        <v>30</v>
      </c>
    </row>
    <row r="29" spans="1:5" ht="13.5" customHeight="1" x14ac:dyDescent="0.35">
      <c r="A29" s="87" t="s">
        <v>222</v>
      </c>
      <c r="B29" s="93" t="s">
        <v>257</v>
      </c>
      <c r="C29" s="90">
        <v>303.14</v>
      </c>
      <c r="D29" s="89">
        <v>33345</v>
      </c>
      <c r="E29" s="91">
        <v>75</v>
      </c>
    </row>
    <row r="30" spans="1:5" ht="13.5" customHeight="1" x14ac:dyDescent="0.35">
      <c r="A30" s="82" t="s">
        <v>224</v>
      </c>
      <c r="B30" s="92" t="s">
        <v>258</v>
      </c>
      <c r="C30" s="85">
        <v>498.29</v>
      </c>
      <c r="D30" s="84">
        <v>54812</v>
      </c>
      <c r="E30" s="86">
        <v>75</v>
      </c>
    </row>
    <row r="31" spans="1:5" ht="13.5" customHeight="1" x14ac:dyDescent="0.35">
      <c r="A31" s="87" t="s">
        <v>225</v>
      </c>
      <c r="B31" s="93" t="s">
        <v>259</v>
      </c>
      <c r="C31" s="90">
        <v>463.94</v>
      </c>
      <c r="D31" s="89">
        <v>51033</v>
      </c>
      <c r="E31" s="91">
        <v>75</v>
      </c>
    </row>
    <row r="32" spans="1:5" ht="13.5" customHeight="1" x14ac:dyDescent="0.35">
      <c r="A32" s="82" t="s">
        <v>481</v>
      </c>
      <c r="B32" s="92" t="s">
        <v>533</v>
      </c>
      <c r="C32" s="85">
        <v>697.98</v>
      </c>
      <c r="D32" s="84">
        <v>76778</v>
      </c>
      <c r="E32" s="86">
        <v>75</v>
      </c>
    </row>
    <row r="33" spans="1:6" ht="13.5" customHeight="1" x14ac:dyDescent="0.35">
      <c r="A33" s="87" t="s">
        <v>482</v>
      </c>
      <c r="B33" s="93" t="s">
        <v>260</v>
      </c>
      <c r="C33" s="90">
        <v>678.35</v>
      </c>
      <c r="D33" s="89">
        <v>74619</v>
      </c>
      <c r="E33" s="91">
        <v>75</v>
      </c>
    </row>
    <row r="34" spans="1:6" ht="13.5" customHeight="1" x14ac:dyDescent="0.35">
      <c r="A34" s="82" t="s">
        <v>483</v>
      </c>
      <c r="B34" s="92" t="s">
        <v>261</v>
      </c>
      <c r="C34" s="85">
        <v>596.66999999999996</v>
      </c>
      <c r="D34" s="84">
        <v>65634</v>
      </c>
      <c r="E34" s="86">
        <v>75</v>
      </c>
    </row>
    <row r="35" spans="1:6" ht="13.5" customHeight="1" x14ac:dyDescent="0.35">
      <c r="A35" s="87" t="s">
        <v>484</v>
      </c>
      <c r="B35" s="93" t="s">
        <v>255</v>
      </c>
      <c r="C35" s="90">
        <v>39.1</v>
      </c>
      <c r="D35" s="89">
        <v>4301</v>
      </c>
      <c r="E35" s="91">
        <v>30</v>
      </c>
    </row>
    <row r="36" spans="1:6" ht="13.5" customHeight="1" x14ac:dyDescent="0.35">
      <c r="A36" s="82" t="s">
        <v>226</v>
      </c>
      <c r="B36" s="92" t="s">
        <v>45</v>
      </c>
      <c r="C36" s="85">
        <v>175.39</v>
      </c>
      <c r="D36" s="84">
        <v>19293</v>
      </c>
      <c r="E36" s="86">
        <v>30</v>
      </c>
    </row>
    <row r="37" spans="1:6" ht="13.5" customHeight="1" x14ac:dyDescent="0.35">
      <c r="A37" s="87" t="s">
        <v>228</v>
      </c>
      <c r="B37" s="93" t="s">
        <v>534</v>
      </c>
      <c r="C37" s="90">
        <v>123.99</v>
      </c>
      <c r="D37" s="89">
        <v>13639</v>
      </c>
      <c r="E37" s="91">
        <v>30</v>
      </c>
    </row>
    <row r="38" spans="1:6" ht="13.5" customHeight="1" x14ac:dyDescent="0.35">
      <c r="A38" s="82" t="s">
        <v>34</v>
      </c>
      <c r="B38" s="92" t="s">
        <v>46</v>
      </c>
      <c r="C38" s="85">
        <v>125.58</v>
      </c>
      <c r="D38" s="84">
        <v>13814</v>
      </c>
      <c r="E38" s="86">
        <v>30</v>
      </c>
    </row>
    <row r="39" spans="1:6" ht="13.5" customHeight="1" x14ac:dyDescent="0.35">
      <c r="A39" s="87" t="s">
        <v>229</v>
      </c>
      <c r="B39" s="93" t="s">
        <v>535</v>
      </c>
      <c r="C39" s="90">
        <v>229.19</v>
      </c>
      <c r="D39" s="89">
        <v>25211</v>
      </c>
      <c r="E39" s="91">
        <v>30</v>
      </c>
    </row>
    <row r="40" spans="1:6" ht="13.5" customHeight="1" x14ac:dyDescent="0.35">
      <c r="A40" s="82" t="s">
        <v>485</v>
      </c>
      <c r="B40" s="92" t="s">
        <v>536</v>
      </c>
      <c r="C40" s="85">
        <v>188.26</v>
      </c>
      <c r="D40" s="84">
        <v>20709</v>
      </c>
      <c r="E40" s="86">
        <v>30</v>
      </c>
    </row>
    <row r="41" spans="1:6" ht="13.5" customHeight="1" x14ac:dyDescent="0.35">
      <c r="A41" s="87" t="s">
        <v>32</v>
      </c>
      <c r="B41" s="93" t="s">
        <v>44</v>
      </c>
      <c r="C41" s="90">
        <v>122.77</v>
      </c>
      <c r="D41" s="89">
        <v>13505</v>
      </c>
      <c r="E41" s="91">
        <v>30</v>
      </c>
    </row>
    <row r="42" spans="1:6" ht="13.5" customHeight="1" x14ac:dyDescent="0.35">
      <c r="A42" s="82" t="s">
        <v>29</v>
      </c>
      <c r="B42" s="92" t="s">
        <v>41</v>
      </c>
      <c r="C42" s="85">
        <v>406.04</v>
      </c>
      <c r="D42" s="84">
        <v>18460</v>
      </c>
      <c r="E42" s="86">
        <v>75</v>
      </c>
      <c r="F42" t="s">
        <v>537</v>
      </c>
    </row>
    <row r="43" spans="1:6" ht="13.5" customHeight="1" x14ac:dyDescent="0.35">
      <c r="A43" s="87" t="s">
        <v>230</v>
      </c>
      <c r="B43" s="93" t="s">
        <v>538</v>
      </c>
      <c r="C43" s="90">
        <v>403.13</v>
      </c>
      <c r="D43" s="89">
        <v>44344</v>
      </c>
      <c r="E43" s="91">
        <v>75</v>
      </c>
    </row>
    <row r="44" spans="1:6" ht="13.5" customHeight="1" x14ac:dyDescent="0.35">
      <c r="A44" s="82" t="s">
        <v>487</v>
      </c>
      <c r="B44" s="92" t="s">
        <v>539</v>
      </c>
      <c r="C44" s="85">
        <v>470.95</v>
      </c>
      <c r="D44" s="84">
        <v>51805</v>
      </c>
      <c r="E44" s="86">
        <v>75</v>
      </c>
    </row>
    <row r="45" spans="1:6" ht="13.5" customHeight="1" x14ac:dyDescent="0.35">
      <c r="A45" s="87" t="s">
        <v>231</v>
      </c>
      <c r="B45" s="93" t="s">
        <v>263</v>
      </c>
      <c r="C45" s="90">
        <v>534.16999999999996</v>
      </c>
      <c r="D45" s="89">
        <v>58759</v>
      </c>
      <c r="E45" s="91">
        <v>75</v>
      </c>
    </row>
    <row r="46" spans="1:6" ht="13.5" customHeight="1" x14ac:dyDescent="0.35">
      <c r="A46" s="82" t="s">
        <v>232</v>
      </c>
      <c r="B46" s="92" t="s">
        <v>540</v>
      </c>
      <c r="C46" s="85">
        <v>647.75</v>
      </c>
      <c r="D46" s="84">
        <v>71253</v>
      </c>
      <c r="E46" s="86">
        <v>75</v>
      </c>
    </row>
    <row r="47" spans="1:6" ht="13.5" customHeight="1" x14ac:dyDescent="0.35">
      <c r="A47" s="87" t="s">
        <v>234</v>
      </c>
      <c r="B47" s="93" t="s">
        <v>541</v>
      </c>
      <c r="C47" s="90">
        <v>1628.1</v>
      </c>
      <c r="D47" s="89">
        <v>179091</v>
      </c>
      <c r="E47" s="91">
        <v>75</v>
      </c>
    </row>
    <row r="48" spans="1:6" ht="13.5" customHeight="1" x14ac:dyDescent="0.35">
      <c r="A48" s="82" t="s">
        <v>488</v>
      </c>
      <c r="B48" s="92" t="s">
        <v>542</v>
      </c>
      <c r="C48" s="85">
        <v>1163.44</v>
      </c>
      <c r="D48" s="84">
        <v>127978</v>
      </c>
      <c r="E48" s="86">
        <v>75</v>
      </c>
    </row>
    <row r="49" spans="1:5" ht="13.5" customHeight="1" x14ac:dyDescent="0.35">
      <c r="A49" s="87" t="s">
        <v>35</v>
      </c>
      <c r="B49" s="93" t="s">
        <v>47</v>
      </c>
      <c r="C49" s="90">
        <v>2264.16</v>
      </c>
      <c r="D49" s="89">
        <v>249058</v>
      </c>
      <c r="E49" s="91">
        <v>75</v>
      </c>
    </row>
    <row r="50" spans="1:5" ht="13.5" customHeight="1" x14ac:dyDescent="0.35">
      <c r="A50" s="82" t="s">
        <v>30</v>
      </c>
      <c r="B50" s="92" t="s">
        <v>42</v>
      </c>
      <c r="C50" s="85">
        <v>2429.9</v>
      </c>
      <c r="D50" s="84">
        <v>267289</v>
      </c>
      <c r="E50" s="86">
        <v>90</v>
      </c>
    </row>
    <row r="51" spans="1:5" ht="13.5" customHeight="1" x14ac:dyDescent="0.35">
      <c r="A51" s="87" t="s">
        <v>236</v>
      </c>
      <c r="B51" s="93" t="s">
        <v>543</v>
      </c>
      <c r="C51" s="90">
        <v>2567.2399999999998</v>
      </c>
      <c r="D51" s="89">
        <v>282396</v>
      </c>
      <c r="E51" s="91">
        <v>90</v>
      </c>
    </row>
    <row r="52" spans="1:5" ht="13.5" customHeight="1" x14ac:dyDescent="0.35">
      <c r="A52" s="82" t="s">
        <v>237</v>
      </c>
      <c r="B52" s="92" t="s">
        <v>544</v>
      </c>
      <c r="C52" s="85">
        <v>2329.11</v>
      </c>
      <c r="D52" s="84">
        <v>256202</v>
      </c>
      <c r="E52" s="86">
        <v>90</v>
      </c>
    </row>
    <row r="53" spans="1:5" ht="13.5" customHeight="1" x14ac:dyDescent="0.35">
      <c r="A53" s="87" t="s">
        <v>238</v>
      </c>
      <c r="B53" s="93" t="s">
        <v>545</v>
      </c>
      <c r="C53" s="90">
        <v>2674.76</v>
      </c>
      <c r="D53" s="89">
        <v>294224</v>
      </c>
      <c r="E53" s="91">
        <v>90</v>
      </c>
    </row>
    <row r="54" spans="1:5" ht="13.5" customHeight="1" x14ac:dyDescent="0.35">
      <c r="A54" s="82" t="s">
        <v>239</v>
      </c>
      <c r="B54" s="92" t="s">
        <v>546</v>
      </c>
      <c r="C54" s="85">
        <v>3556.68</v>
      </c>
      <c r="D54" s="84">
        <v>391235</v>
      </c>
      <c r="E54" s="86">
        <v>90</v>
      </c>
    </row>
    <row r="55" spans="1:5" ht="13.5" customHeight="1" x14ac:dyDescent="0.35">
      <c r="A55" s="87" t="s">
        <v>502</v>
      </c>
      <c r="B55" s="93" t="s">
        <v>547</v>
      </c>
      <c r="C55" s="90">
        <v>3747.81</v>
      </c>
      <c r="D55" s="89">
        <v>412259</v>
      </c>
      <c r="E55" s="91">
        <v>90</v>
      </c>
    </row>
    <row r="56" spans="1:5" ht="13.5" customHeight="1" x14ac:dyDescent="0.35">
      <c r="A56" s="82" t="s">
        <v>503</v>
      </c>
      <c r="B56" s="92" t="s">
        <v>548</v>
      </c>
      <c r="C56" s="85">
        <v>3734.33</v>
      </c>
      <c r="D56" s="84">
        <v>410776</v>
      </c>
      <c r="E56" s="86">
        <v>90</v>
      </c>
    </row>
    <row r="57" spans="1:5" ht="13.5" customHeight="1" x14ac:dyDescent="0.35">
      <c r="A57" s="87" t="s">
        <v>504</v>
      </c>
      <c r="B57" s="93" t="s">
        <v>549</v>
      </c>
      <c r="C57" s="90">
        <v>8240</v>
      </c>
      <c r="D57" s="89">
        <v>906400</v>
      </c>
      <c r="E57" s="91">
        <v>90</v>
      </c>
    </row>
    <row r="58" spans="1:5" ht="13.5" customHeight="1" x14ac:dyDescent="0.35">
      <c r="A58" s="82" t="s">
        <v>505</v>
      </c>
      <c r="B58" s="92" t="s">
        <v>550</v>
      </c>
      <c r="C58" s="85">
        <v>11330.25</v>
      </c>
      <c r="D58" s="84">
        <v>1246328</v>
      </c>
      <c r="E58" s="86">
        <v>90</v>
      </c>
    </row>
    <row r="59" spans="1:5" ht="13.5" customHeight="1" x14ac:dyDescent="0.35">
      <c r="A59" s="87" t="s">
        <v>506</v>
      </c>
      <c r="B59" s="93" t="s">
        <v>551</v>
      </c>
      <c r="C59" s="90">
        <v>12229.34</v>
      </c>
      <c r="D59" s="89">
        <v>1345227</v>
      </c>
      <c r="E59" s="91">
        <v>90</v>
      </c>
    </row>
    <row r="60" spans="1:5" ht="13.5" customHeight="1" x14ac:dyDescent="0.35">
      <c r="A60" s="82" t="s">
        <v>507</v>
      </c>
      <c r="B60" s="92" t="s">
        <v>552</v>
      </c>
      <c r="C60" s="85">
        <v>15672</v>
      </c>
      <c r="D60" s="84">
        <v>1723920</v>
      </c>
      <c r="E60" s="86">
        <v>90</v>
      </c>
    </row>
    <row r="61" spans="1:5" ht="13.5" customHeight="1" x14ac:dyDescent="0.35">
      <c r="A61" s="87" t="s">
        <v>509</v>
      </c>
      <c r="B61" s="93" t="s">
        <v>553</v>
      </c>
      <c r="C61" s="90">
        <v>5348.53</v>
      </c>
      <c r="D61" s="89">
        <v>588338</v>
      </c>
      <c r="E61" s="91">
        <v>90</v>
      </c>
    </row>
    <row r="62" spans="1:5" ht="13.5" customHeight="1" x14ac:dyDescent="0.35">
      <c r="A62" s="82" t="s">
        <v>510</v>
      </c>
      <c r="B62" s="92" t="s">
        <v>554</v>
      </c>
      <c r="C62" s="85">
        <v>4938.96</v>
      </c>
      <c r="D62" s="84">
        <v>543286</v>
      </c>
      <c r="E62" s="86">
        <v>90</v>
      </c>
    </row>
    <row r="63" spans="1:5" ht="13.5" customHeight="1" x14ac:dyDescent="0.35">
      <c r="A63" s="87" t="s">
        <v>511</v>
      </c>
      <c r="B63" s="93" t="s">
        <v>555</v>
      </c>
      <c r="C63" s="90">
        <v>6656.75</v>
      </c>
      <c r="D63" s="89">
        <v>732243</v>
      </c>
      <c r="E63" s="91">
        <v>90</v>
      </c>
    </row>
    <row r="64" spans="1:5" ht="13.5" customHeight="1" x14ac:dyDescent="0.35">
      <c r="A64" s="82" t="s">
        <v>514</v>
      </c>
      <c r="B64" s="92" t="s">
        <v>556</v>
      </c>
      <c r="C64" s="85">
        <v>6926.59</v>
      </c>
      <c r="D64" s="84">
        <v>761925</v>
      </c>
      <c r="E64" s="86">
        <v>90</v>
      </c>
    </row>
    <row r="65" spans="1:5" ht="13.5" customHeight="1" x14ac:dyDescent="0.35">
      <c r="A65" s="87" t="s">
        <v>515</v>
      </c>
      <c r="B65" s="93" t="s">
        <v>557</v>
      </c>
      <c r="C65" s="90">
        <v>16250.37</v>
      </c>
      <c r="D65" s="89">
        <v>1787541</v>
      </c>
      <c r="E65" s="91">
        <v>90</v>
      </c>
    </row>
    <row r="66" spans="1:5" ht="13.5" customHeight="1" x14ac:dyDescent="0.35">
      <c r="A66" s="82" t="s">
        <v>516</v>
      </c>
      <c r="B66" s="92" t="s">
        <v>558</v>
      </c>
      <c r="C66" s="85">
        <v>16490</v>
      </c>
      <c r="D66" s="84">
        <v>1813900</v>
      </c>
      <c r="E66" s="86">
        <v>90</v>
      </c>
    </row>
    <row r="67" spans="1:5" ht="13.5" customHeight="1" x14ac:dyDescent="0.35">
      <c r="A67" s="87" t="s">
        <v>508</v>
      </c>
      <c r="B67" s="93" t="s">
        <v>559</v>
      </c>
      <c r="C67" s="90">
        <v>5902.66</v>
      </c>
      <c r="D67" s="89">
        <v>649293</v>
      </c>
      <c r="E67" s="91">
        <v>90</v>
      </c>
    </row>
    <row r="68" spans="1:5" ht="13.5" customHeight="1" x14ac:dyDescent="0.35">
      <c r="A68" s="82" t="s">
        <v>495</v>
      </c>
      <c r="B68" s="92" t="s">
        <v>528</v>
      </c>
      <c r="C68" s="85">
        <v>80.27</v>
      </c>
      <c r="D68" s="84">
        <v>8830</v>
      </c>
      <c r="E68" s="86">
        <v>30</v>
      </c>
    </row>
    <row r="69" spans="1:5" ht="13.5" customHeight="1" x14ac:dyDescent="0.35">
      <c r="A69" s="87" t="s">
        <v>240</v>
      </c>
      <c r="B69" s="93" t="s">
        <v>560</v>
      </c>
      <c r="C69" s="90">
        <v>91.15</v>
      </c>
      <c r="D69" s="89">
        <v>10027</v>
      </c>
      <c r="E69" s="91">
        <v>30</v>
      </c>
    </row>
    <row r="70" spans="1:5" ht="13.5" customHeight="1" x14ac:dyDescent="0.35">
      <c r="A70" s="82" t="s">
        <v>496</v>
      </c>
      <c r="B70" s="92" t="s">
        <v>529</v>
      </c>
      <c r="C70" s="85">
        <v>122.43</v>
      </c>
      <c r="D70" s="84">
        <v>13467</v>
      </c>
      <c r="E70" s="86">
        <v>30</v>
      </c>
    </row>
    <row r="71" spans="1:5" ht="13.5" customHeight="1" x14ac:dyDescent="0.35">
      <c r="A71" s="87" t="s">
        <v>497</v>
      </c>
      <c r="B71" s="93" t="s">
        <v>531</v>
      </c>
      <c r="C71" s="90">
        <v>127.39</v>
      </c>
      <c r="D71" s="89">
        <v>14013</v>
      </c>
      <c r="E71" s="91">
        <v>30</v>
      </c>
    </row>
    <row r="72" spans="1:5" ht="13.5" customHeight="1" x14ac:dyDescent="0.35">
      <c r="A72" s="82" t="s">
        <v>242</v>
      </c>
      <c r="B72" s="92" t="s">
        <v>532</v>
      </c>
      <c r="C72" s="85">
        <v>168.82</v>
      </c>
      <c r="D72" s="84">
        <v>18570</v>
      </c>
      <c r="E72" s="86">
        <v>30</v>
      </c>
    </row>
    <row r="73" spans="1:5" ht="13.5" customHeight="1" x14ac:dyDescent="0.35">
      <c r="A73" s="87" t="s">
        <v>243</v>
      </c>
      <c r="B73" s="93" t="s">
        <v>561</v>
      </c>
      <c r="C73" s="90">
        <v>165.4</v>
      </c>
      <c r="D73" s="89">
        <v>18194</v>
      </c>
      <c r="E73" s="91">
        <v>30</v>
      </c>
    </row>
    <row r="74" spans="1:5" ht="13.5" customHeight="1" x14ac:dyDescent="0.35">
      <c r="A74" s="82" t="s">
        <v>498</v>
      </c>
      <c r="B74" s="92" t="s">
        <v>258</v>
      </c>
      <c r="C74" s="85">
        <v>498.29</v>
      </c>
      <c r="D74" s="84">
        <v>54812</v>
      </c>
      <c r="E74" s="86">
        <v>75</v>
      </c>
    </row>
    <row r="75" spans="1:5" ht="13.5" customHeight="1" x14ac:dyDescent="0.35">
      <c r="A75" s="87" t="s">
        <v>499</v>
      </c>
      <c r="B75" s="93" t="s">
        <v>562</v>
      </c>
      <c r="C75" s="90"/>
      <c r="D75" s="89">
        <v>61600</v>
      </c>
      <c r="E75" s="91">
        <v>75</v>
      </c>
    </row>
    <row r="76" spans="1:5" ht="13.5" customHeight="1" x14ac:dyDescent="0.35">
      <c r="A76" s="82" t="s">
        <v>244</v>
      </c>
      <c r="B76" s="92" t="s">
        <v>260</v>
      </c>
      <c r="C76" s="85">
        <v>678.35</v>
      </c>
      <c r="D76" s="84">
        <v>74619</v>
      </c>
      <c r="E76" s="86">
        <v>75</v>
      </c>
    </row>
    <row r="77" spans="1:5" ht="13.5" customHeight="1" x14ac:dyDescent="0.35">
      <c r="A77" s="87" t="s">
        <v>245</v>
      </c>
      <c r="B77" s="93" t="s">
        <v>542</v>
      </c>
      <c r="C77" s="90">
        <v>1163.44</v>
      </c>
      <c r="D77" s="89">
        <v>127978</v>
      </c>
      <c r="E77" s="91">
        <v>75</v>
      </c>
    </row>
    <row r="78" spans="1:5" ht="13.5" customHeight="1" x14ac:dyDescent="0.35">
      <c r="A78" s="82" t="s">
        <v>246</v>
      </c>
      <c r="B78" s="92" t="s">
        <v>42</v>
      </c>
      <c r="C78" s="85">
        <v>2429.9</v>
      </c>
      <c r="D78" s="84">
        <v>267289</v>
      </c>
      <c r="E78" s="86">
        <v>90</v>
      </c>
    </row>
    <row r="79" spans="1:5" ht="13.5" customHeight="1" x14ac:dyDescent="0.35">
      <c r="A79" s="87" t="s">
        <v>512</v>
      </c>
      <c r="B79" s="93" t="s">
        <v>563</v>
      </c>
      <c r="C79" s="90"/>
      <c r="D79" s="89">
        <v>412259</v>
      </c>
      <c r="E79" s="91">
        <v>90</v>
      </c>
    </row>
    <row r="80" spans="1:5" ht="13.5" customHeight="1" x14ac:dyDescent="0.35">
      <c r="A80" s="82" t="s">
        <v>513</v>
      </c>
      <c r="B80" s="92" t="s">
        <v>564</v>
      </c>
      <c r="C80" s="85"/>
      <c r="D80" s="84"/>
      <c r="E80" s="86">
        <v>90</v>
      </c>
    </row>
    <row r="81" spans="1:5" x14ac:dyDescent="0.35">
      <c r="A81" s="87" t="s">
        <v>720</v>
      </c>
      <c r="B81" s="93" t="s">
        <v>45</v>
      </c>
      <c r="C81" s="93">
        <v>5000</v>
      </c>
      <c r="D81" s="89">
        <v>5000</v>
      </c>
      <c r="E81" s="91">
        <v>90</v>
      </c>
    </row>
    <row r="82" spans="1:5" x14ac:dyDescent="0.35">
      <c r="A82" s="82" t="s">
        <v>721</v>
      </c>
      <c r="B82" s="92" t="s">
        <v>534</v>
      </c>
      <c r="C82" s="92">
        <v>5000</v>
      </c>
      <c r="D82" s="84">
        <v>5000</v>
      </c>
      <c r="E82" s="86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4"/>
  <sheetViews>
    <sheetView showGridLines="0" topLeftCell="A33" zoomScaleNormal="100" workbookViewId="0">
      <selection activeCell="C46" sqref="C46"/>
    </sheetView>
  </sheetViews>
  <sheetFormatPr defaultColWidth="8.6328125" defaultRowHeight="14.5" x14ac:dyDescent="0.35"/>
  <cols>
    <col min="1" max="1" width="15.6328125" customWidth="1"/>
    <col min="2" max="2" width="14.90625" customWidth="1"/>
    <col min="3" max="3" width="7.6328125" customWidth="1"/>
    <col min="4" max="4" width="11" customWidth="1"/>
    <col min="9" max="9" width="10.6328125" customWidth="1"/>
    <col min="10" max="10" width="0" hidden="1" customWidth="1"/>
    <col min="11" max="11" width="13.6328125" hidden="1" customWidth="1"/>
    <col min="12" max="12" width="0" hidden="1" customWidth="1"/>
    <col min="13" max="13" width="10.81640625" hidden="1" customWidth="1"/>
    <col min="14" max="14" width="12" bestFit="1" customWidth="1"/>
  </cols>
  <sheetData>
    <row r="1" spans="1:4" ht="15.75" customHeight="1" x14ac:dyDescent="0.35">
      <c r="A1" s="19" t="s">
        <v>517</v>
      </c>
      <c r="B1" s="19" t="s">
        <v>49</v>
      </c>
      <c r="C1" s="19" t="s">
        <v>454</v>
      </c>
      <c r="D1" s="19" t="s">
        <v>209</v>
      </c>
    </row>
    <row r="2" spans="1:4" ht="13.5" customHeight="1" x14ac:dyDescent="0.35">
      <c r="A2" s="82" t="s">
        <v>459</v>
      </c>
      <c r="B2" s="92" t="s">
        <v>565</v>
      </c>
      <c r="C2" s="84">
        <v>2917</v>
      </c>
      <c r="D2" s="86">
        <v>98</v>
      </c>
    </row>
    <row r="3" spans="1:4" ht="13.5" customHeight="1" x14ac:dyDescent="0.35">
      <c r="A3" s="87" t="s">
        <v>460</v>
      </c>
      <c r="B3" s="93" t="s">
        <v>566</v>
      </c>
      <c r="C3" s="89">
        <v>3999</v>
      </c>
      <c r="D3" s="91">
        <v>98</v>
      </c>
    </row>
    <row r="4" spans="1:4" ht="13.5" customHeight="1" x14ac:dyDescent="0.35">
      <c r="A4" s="82" t="s">
        <v>461</v>
      </c>
      <c r="B4" s="92" t="s">
        <v>567</v>
      </c>
      <c r="C4" s="84">
        <v>4425</v>
      </c>
      <c r="D4" s="86">
        <v>98</v>
      </c>
    </row>
    <row r="5" spans="1:4" ht="13.5" customHeight="1" x14ac:dyDescent="0.35">
      <c r="A5" s="87" t="s">
        <v>462</v>
      </c>
      <c r="B5" s="93" t="s">
        <v>568</v>
      </c>
      <c r="C5" s="89">
        <v>5470</v>
      </c>
      <c r="D5" s="91">
        <v>98</v>
      </c>
    </row>
    <row r="6" spans="1:4" ht="13.5" customHeight="1" x14ac:dyDescent="0.35">
      <c r="A6" s="82" t="s">
        <v>463</v>
      </c>
      <c r="B6" s="92" t="s">
        <v>569</v>
      </c>
      <c r="C6" s="84">
        <v>5879</v>
      </c>
      <c r="D6" s="86">
        <v>98</v>
      </c>
    </row>
    <row r="7" spans="1:4" ht="13.5" customHeight="1" x14ac:dyDescent="0.35">
      <c r="A7" s="87" t="s">
        <v>212</v>
      </c>
      <c r="B7" s="93" t="s">
        <v>570</v>
      </c>
      <c r="C7" s="89">
        <v>9022</v>
      </c>
      <c r="D7" s="91">
        <v>98</v>
      </c>
    </row>
    <row r="8" spans="1:4" ht="13.5" customHeight="1" x14ac:dyDescent="0.35">
      <c r="A8" s="82" t="s">
        <v>216</v>
      </c>
      <c r="B8" s="92" t="s">
        <v>571</v>
      </c>
      <c r="C8" s="84">
        <v>9927</v>
      </c>
      <c r="D8" s="86">
        <v>98</v>
      </c>
    </row>
    <row r="9" spans="1:4" ht="13.5" customHeight="1" x14ac:dyDescent="0.35">
      <c r="A9" s="87" t="s">
        <v>217</v>
      </c>
      <c r="B9" s="93" t="s">
        <v>572</v>
      </c>
      <c r="C9" s="89">
        <v>10845</v>
      </c>
      <c r="D9" s="91">
        <v>98</v>
      </c>
    </row>
    <row r="10" spans="1:4" ht="13.5" customHeight="1" x14ac:dyDescent="0.35">
      <c r="A10" s="82" t="s">
        <v>218</v>
      </c>
      <c r="B10" s="92" t="s">
        <v>573</v>
      </c>
      <c r="C10" s="84">
        <v>13057</v>
      </c>
      <c r="D10" s="86">
        <v>98</v>
      </c>
    </row>
    <row r="11" spans="1:4" ht="13.5" customHeight="1" x14ac:dyDescent="0.35">
      <c r="A11" s="87" t="s">
        <v>219</v>
      </c>
      <c r="B11" s="93" t="s">
        <v>574</v>
      </c>
      <c r="C11" s="89">
        <v>16738</v>
      </c>
      <c r="D11" s="91">
        <v>98</v>
      </c>
    </row>
    <row r="12" spans="1:4" ht="13.5" customHeight="1" x14ac:dyDescent="0.35">
      <c r="A12" s="82" t="s">
        <v>220</v>
      </c>
      <c r="B12" s="92" t="s">
        <v>575</v>
      </c>
      <c r="C12" s="84">
        <v>20742</v>
      </c>
      <c r="D12" s="86">
        <v>98</v>
      </c>
    </row>
    <row r="13" spans="1:4" ht="13.5" customHeight="1" x14ac:dyDescent="0.35">
      <c r="A13" s="87" t="s">
        <v>31</v>
      </c>
      <c r="B13" s="93" t="s">
        <v>52</v>
      </c>
      <c r="C13" s="89">
        <v>25766</v>
      </c>
      <c r="D13" s="91">
        <v>98</v>
      </c>
    </row>
    <row r="14" spans="1:4" ht="13.5" customHeight="1" x14ac:dyDescent="0.35">
      <c r="A14" s="82" t="s">
        <v>464</v>
      </c>
      <c r="B14" s="92" t="s">
        <v>576</v>
      </c>
      <c r="C14" s="84">
        <v>29848</v>
      </c>
      <c r="D14" s="86">
        <v>98</v>
      </c>
    </row>
    <row r="15" spans="1:4" ht="13.5" customHeight="1" x14ac:dyDescent="0.35">
      <c r="A15" s="87" t="s">
        <v>33</v>
      </c>
      <c r="B15" s="93" t="s">
        <v>54</v>
      </c>
      <c r="C15" s="89">
        <v>39672</v>
      </c>
      <c r="D15" s="91">
        <v>98</v>
      </c>
    </row>
    <row r="16" spans="1:4" ht="13.5" customHeight="1" x14ac:dyDescent="0.35">
      <c r="A16" s="82" t="s">
        <v>466</v>
      </c>
      <c r="B16" s="92" t="s">
        <v>577</v>
      </c>
      <c r="C16" s="84">
        <v>48472</v>
      </c>
      <c r="D16" s="86">
        <v>91</v>
      </c>
    </row>
    <row r="17" spans="1:4" ht="13.5" customHeight="1" x14ac:dyDescent="0.35">
      <c r="A17" s="87" t="s">
        <v>467</v>
      </c>
      <c r="B17" s="93" t="s">
        <v>577</v>
      </c>
      <c r="C17" s="89">
        <v>48472</v>
      </c>
      <c r="D17" s="91">
        <v>91</v>
      </c>
    </row>
    <row r="18" spans="1:4" ht="13.5" customHeight="1" x14ac:dyDescent="0.35">
      <c r="A18" s="82" t="s">
        <v>221</v>
      </c>
      <c r="B18" s="92" t="s">
        <v>50</v>
      </c>
      <c r="C18" s="84">
        <v>86671</v>
      </c>
      <c r="D18" s="86">
        <v>91</v>
      </c>
    </row>
    <row r="19" spans="1:4" ht="13.5" customHeight="1" x14ac:dyDescent="0.35">
      <c r="A19" s="87" t="s">
        <v>477</v>
      </c>
      <c r="B19" s="93" t="s">
        <v>578</v>
      </c>
      <c r="C19" s="89">
        <v>30656</v>
      </c>
      <c r="D19" s="91">
        <v>91</v>
      </c>
    </row>
    <row r="20" spans="1:4" ht="13.5" customHeight="1" x14ac:dyDescent="0.35">
      <c r="A20" s="82" t="s">
        <v>478</v>
      </c>
      <c r="B20" s="92" t="s">
        <v>579</v>
      </c>
      <c r="C20" s="84">
        <v>38447</v>
      </c>
      <c r="D20" s="86">
        <v>91</v>
      </c>
    </row>
    <row r="21" spans="1:4" ht="13.5" customHeight="1" x14ac:dyDescent="0.35">
      <c r="A21" s="87" t="s">
        <v>479</v>
      </c>
      <c r="B21" s="93" t="s">
        <v>580</v>
      </c>
      <c r="C21" s="89">
        <v>40529</v>
      </c>
      <c r="D21" s="91">
        <v>91</v>
      </c>
    </row>
    <row r="22" spans="1:4" ht="13.5" customHeight="1" x14ac:dyDescent="0.35">
      <c r="A22" s="82" t="s">
        <v>480</v>
      </c>
      <c r="B22" s="92" t="s">
        <v>581</v>
      </c>
      <c r="C22" s="84">
        <v>48936</v>
      </c>
      <c r="D22" s="86">
        <v>91</v>
      </c>
    </row>
    <row r="23" spans="1:4" ht="13.5" customHeight="1" x14ac:dyDescent="0.35">
      <c r="A23" s="87" t="s">
        <v>222</v>
      </c>
      <c r="B23" s="93" t="s">
        <v>582</v>
      </c>
      <c r="C23" s="89">
        <v>61638</v>
      </c>
      <c r="D23" s="91">
        <v>91</v>
      </c>
    </row>
    <row r="24" spans="1:4" ht="13.5" customHeight="1" x14ac:dyDescent="0.35">
      <c r="A24" s="82" t="s">
        <v>224</v>
      </c>
      <c r="B24" s="92" t="s">
        <v>583</v>
      </c>
      <c r="C24" s="84">
        <v>69064</v>
      </c>
      <c r="D24" s="86">
        <v>91</v>
      </c>
    </row>
    <row r="25" spans="1:4" ht="13.5" customHeight="1" x14ac:dyDescent="0.35">
      <c r="A25" s="87" t="s">
        <v>225</v>
      </c>
      <c r="B25" s="93" t="s">
        <v>584</v>
      </c>
      <c r="C25" s="89">
        <v>113561</v>
      </c>
      <c r="D25" s="91">
        <v>91</v>
      </c>
    </row>
    <row r="26" spans="1:4" ht="13.5" customHeight="1" x14ac:dyDescent="0.35">
      <c r="A26" s="82" t="s">
        <v>481</v>
      </c>
      <c r="B26" s="92" t="s">
        <v>585</v>
      </c>
      <c r="C26" s="84">
        <v>127002</v>
      </c>
      <c r="D26" s="86">
        <v>91</v>
      </c>
    </row>
    <row r="27" spans="1:4" ht="13.5" customHeight="1" x14ac:dyDescent="0.35">
      <c r="A27" s="87" t="s">
        <v>482</v>
      </c>
      <c r="B27" s="93" t="s">
        <v>586</v>
      </c>
      <c r="C27" s="89">
        <v>142716</v>
      </c>
      <c r="D27" s="91">
        <v>91</v>
      </c>
    </row>
    <row r="28" spans="1:4" ht="13.5" customHeight="1" x14ac:dyDescent="0.35">
      <c r="A28" s="82" t="s">
        <v>483</v>
      </c>
      <c r="B28" s="92" t="s">
        <v>587</v>
      </c>
      <c r="C28" s="84">
        <v>147924</v>
      </c>
      <c r="D28" s="86">
        <v>91</v>
      </c>
    </row>
    <row r="29" spans="1:4" ht="13.5" customHeight="1" x14ac:dyDescent="0.35">
      <c r="A29" s="87" t="s">
        <v>484</v>
      </c>
      <c r="B29" s="93" t="s">
        <v>588</v>
      </c>
      <c r="C29" s="89">
        <v>18500</v>
      </c>
      <c r="D29" s="91">
        <v>91</v>
      </c>
    </row>
    <row r="30" spans="1:4" ht="13.5" customHeight="1" x14ac:dyDescent="0.35">
      <c r="A30" s="82" t="s">
        <v>226</v>
      </c>
      <c r="B30" s="92" t="s">
        <v>589</v>
      </c>
      <c r="C30" s="84">
        <v>31205</v>
      </c>
      <c r="D30" s="86">
        <v>91</v>
      </c>
    </row>
    <row r="31" spans="1:4" ht="13.5" customHeight="1" x14ac:dyDescent="0.35">
      <c r="A31" s="87" t="s">
        <v>228</v>
      </c>
      <c r="B31" s="93" t="s">
        <v>589</v>
      </c>
      <c r="C31" s="89">
        <v>31205</v>
      </c>
      <c r="D31" s="91">
        <v>91</v>
      </c>
    </row>
    <row r="32" spans="1:4" ht="13.5" customHeight="1" x14ac:dyDescent="0.35">
      <c r="A32" s="82" t="s">
        <v>34</v>
      </c>
      <c r="B32" s="92" t="s">
        <v>55</v>
      </c>
      <c r="C32" s="84">
        <v>36000</v>
      </c>
      <c r="D32" s="86">
        <v>91</v>
      </c>
    </row>
    <row r="33" spans="1:4" ht="13.5" customHeight="1" x14ac:dyDescent="0.35">
      <c r="A33" s="87" t="s">
        <v>229</v>
      </c>
      <c r="B33" s="93" t="s">
        <v>577</v>
      </c>
      <c r="C33" s="89">
        <v>48472</v>
      </c>
      <c r="D33" s="91">
        <v>91</v>
      </c>
    </row>
    <row r="34" spans="1:4" ht="13.5" customHeight="1" x14ac:dyDescent="0.35">
      <c r="A34" s="82" t="s">
        <v>485</v>
      </c>
      <c r="B34" s="92" t="s">
        <v>590</v>
      </c>
      <c r="C34" s="84">
        <v>57466</v>
      </c>
      <c r="D34" s="86">
        <v>91</v>
      </c>
    </row>
    <row r="35" spans="1:4" ht="13.5" customHeight="1" x14ac:dyDescent="0.35">
      <c r="A35" s="87" t="s">
        <v>32</v>
      </c>
      <c r="B35" s="93" t="s">
        <v>53</v>
      </c>
      <c r="C35" s="89">
        <v>64785</v>
      </c>
      <c r="D35" s="91">
        <v>91</v>
      </c>
    </row>
    <row r="36" spans="1:4" ht="13.5" customHeight="1" x14ac:dyDescent="0.35">
      <c r="A36" s="82" t="s">
        <v>29</v>
      </c>
      <c r="B36" s="92" t="s">
        <v>50</v>
      </c>
      <c r="C36" s="84">
        <v>74820</v>
      </c>
      <c r="D36" s="86">
        <v>91</v>
      </c>
    </row>
    <row r="37" spans="1:4" ht="13.5" customHeight="1" x14ac:dyDescent="0.35">
      <c r="A37" s="87" t="s">
        <v>230</v>
      </c>
      <c r="B37" s="93" t="s">
        <v>591</v>
      </c>
      <c r="C37" s="89">
        <v>111000</v>
      </c>
      <c r="D37" s="91">
        <v>91</v>
      </c>
    </row>
    <row r="38" spans="1:4" ht="13.5" customHeight="1" x14ac:dyDescent="0.35">
      <c r="A38" s="82" t="s">
        <v>487</v>
      </c>
      <c r="B38" s="92" t="s">
        <v>592</v>
      </c>
      <c r="C38" s="84">
        <v>120418</v>
      </c>
      <c r="D38" s="86">
        <v>91</v>
      </c>
    </row>
    <row r="39" spans="1:4" ht="13.5" customHeight="1" x14ac:dyDescent="0.35">
      <c r="A39" s="87" t="s">
        <v>231</v>
      </c>
      <c r="B39" s="93" t="s">
        <v>593</v>
      </c>
      <c r="C39" s="89">
        <v>153500</v>
      </c>
      <c r="D39" s="91">
        <v>91</v>
      </c>
    </row>
    <row r="40" spans="1:4" ht="13.5" customHeight="1" x14ac:dyDescent="0.35">
      <c r="A40" s="82" t="s">
        <v>232</v>
      </c>
      <c r="B40" s="92" t="s">
        <v>594</v>
      </c>
      <c r="C40" s="84">
        <v>171397</v>
      </c>
      <c r="D40" s="86">
        <v>91</v>
      </c>
    </row>
    <row r="41" spans="1:4" ht="13.5" customHeight="1" x14ac:dyDescent="0.35">
      <c r="A41" s="87" t="s">
        <v>234</v>
      </c>
      <c r="B41" s="93" t="s">
        <v>595</v>
      </c>
      <c r="C41" s="89">
        <v>277443</v>
      </c>
      <c r="D41" s="91">
        <v>91</v>
      </c>
    </row>
    <row r="42" spans="1:4" ht="13.5" customHeight="1" x14ac:dyDescent="0.35">
      <c r="A42" s="82" t="s">
        <v>488</v>
      </c>
      <c r="B42" s="92" t="s">
        <v>596</v>
      </c>
      <c r="C42" s="84">
        <v>300014</v>
      </c>
      <c r="D42" s="86">
        <v>98</v>
      </c>
    </row>
    <row r="43" spans="1:4" ht="13.5" customHeight="1" x14ac:dyDescent="0.35">
      <c r="A43" s="87" t="s">
        <v>35</v>
      </c>
      <c r="B43" s="93" t="s">
        <v>56</v>
      </c>
      <c r="C43" s="89">
        <v>338959</v>
      </c>
      <c r="D43" s="91">
        <v>98</v>
      </c>
    </row>
    <row r="44" spans="1:4" ht="13.5" customHeight="1" x14ac:dyDescent="0.35">
      <c r="A44" s="82" t="s">
        <v>30</v>
      </c>
      <c r="B44" s="92" t="s">
        <v>51</v>
      </c>
      <c r="C44" s="84">
        <v>406346</v>
      </c>
      <c r="D44" s="86">
        <v>98</v>
      </c>
    </row>
    <row r="45" spans="1:4" ht="13.5" customHeight="1" x14ac:dyDescent="0.35">
      <c r="A45" s="87" t="s">
        <v>236</v>
      </c>
      <c r="B45" s="93" t="s">
        <v>597</v>
      </c>
      <c r="C45" s="89">
        <v>457861</v>
      </c>
      <c r="D45" s="91">
        <v>98</v>
      </c>
    </row>
    <row r="46" spans="1:4" ht="13.5" customHeight="1" x14ac:dyDescent="0.35">
      <c r="A46" s="82" t="s">
        <v>237</v>
      </c>
      <c r="B46" s="92" t="s">
        <v>598</v>
      </c>
      <c r="C46" s="84">
        <v>550000</v>
      </c>
      <c r="D46" s="86">
        <v>98</v>
      </c>
    </row>
    <row r="47" spans="1:4" ht="13.5" customHeight="1" x14ac:dyDescent="0.35">
      <c r="A47" s="87" t="s">
        <v>238</v>
      </c>
      <c r="B47" s="93" t="s">
        <v>599</v>
      </c>
      <c r="C47" s="89">
        <v>676427</v>
      </c>
      <c r="D47" s="91">
        <v>98</v>
      </c>
    </row>
    <row r="48" spans="1:4" ht="13.5" customHeight="1" x14ac:dyDescent="0.35">
      <c r="A48" s="82" t="s">
        <v>239</v>
      </c>
      <c r="B48" s="92" t="s">
        <v>600</v>
      </c>
      <c r="C48" s="84">
        <v>885601</v>
      </c>
      <c r="D48" s="86">
        <v>98</v>
      </c>
    </row>
    <row r="49" spans="1:16" ht="13.5" customHeight="1" x14ac:dyDescent="0.35">
      <c r="A49" s="87" t="s">
        <v>495</v>
      </c>
      <c r="B49" s="93" t="s">
        <v>601</v>
      </c>
      <c r="C49" s="89">
        <v>26500</v>
      </c>
      <c r="D49" s="91">
        <v>91</v>
      </c>
    </row>
    <row r="50" spans="1:16" ht="13.5" customHeight="1" x14ac:dyDescent="0.35">
      <c r="A50" s="82" t="s">
        <v>240</v>
      </c>
      <c r="B50" s="92" t="s">
        <v>602</v>
      </c>
      <c r="C50" s="84">
        <v>29000</v>
      </c>
      <c r="D50" s="86">
        <v>91</v>
      </c>
    </row>
    <row r="51" spans="1:16" ht="13.5" customHeight="1" x14ac:dyDescent="0.35">
      <c r="A51" s="87" t="s">
        <v>496</v>
      </c>
      <c r="B51" s="93" t="s">
        <v>578</v>
      </c>
      <c r="C51" s="89">
        <v>30656</v>
      </c>
      <c r="D51" s="91">
        <v>91</v>
      </c>
    </row>
    <row r="52" spans="1:16" ht="13.5" customHeight="1" x14ac:dyDescent="0.35">
      <c r="A52" s="82" t="s">
        <v>497</v>
      </c>
      <c r="B52" s="92" t="s">
        <v>580</v>
      </c>
      <c r="C52" s="84">
        <v>40529</v>
      </c>
      <c r="D52" s="86">
        <v>91</v>
      </c>
    </row>
    <row r="53" spans="1:16" ht="13.5" customHeight="1" x14ac:dyDescent="0.35">
      <c r="A53" s="87" t="s">
        <v>242</v>
      </c>
      <c r="B53" s="93" t="s">
        <v>581</v>
      </c>
      <c r="C53" s="89">
        <v>48936</v>
      </c>
      <c r="D53" s="91">
        <v>91</v>
      </c>
    </row>
    <row r="54" spans="1:16" ht="13.5" customHeight="1" x14ac:dyDescent="0.35">
      <c r="A54" s="82" t="s">
        <v>243</v>
      </c>
      <c r="B54" s="92" t="s">
        <v>582</v>
      </c>
      <c r="C54" s="84">
        <v>61638</v>
      </c>
      <c r="D54" s="86">
        <v>91</v>
      </c>
    </row>
    <row r="55" spans="1:16" ht="13.5" customHeight="1" x14ac:dyDescent="0.35">
      <c r="A55" s="87" t="s">
        <v>498</v>
      </c>
      <c r="B55" s="93" t="s">
        <v>583</v>
      </c>
      <c r="C55" s="89">
        <v>69064</v>
      </c>
      <c r="D55" s="91">
        <v>91</v>
      </c>
    </row>
    <row r="56" spans="1:16" ht="13.5" customHeight="1" x14ac:dyDescent="0.35">
      <c r="A56" s="82" t="s">
        <v>499</v>
      </c>
      <c r="B56" s="92" t="s">
        <v>585</v>
      </c>
      <c r="C56" s="84">
        <v>127002</v>
      </c>
      <c r="D56" s="86">
        <v>91</v>
      </c>
    </row>
    <row r="57" spans="1:16" ht="13.5" customHeight="1" x14ac:dyDescent="0.35">
      <c r="A57" s="87" t="s">
        <v>244</v>
      </c>
      <c r="B57" s="93" t="s">
        <v>586</v>
      </c>
      <c r="C57" s="89">
        <v>142716</v>
      </c>
      <c r="D57" s="91">
        <v>91</v>
      </c>
    </row>
    <row r="58" spans="1:16" ht="13.5" customHeight="1" x14ac:dyDescent="0.35">
      <c r="A58" s="82" t="s">
        <v>245</v>
      </c>
      <c r="B58" s="92" t="s">
        <v>596</v>
      </c>
      <c r="C58" s="84">
        <v>300014</v>
      </c>
      <c r="D58" s="86">
        <v>98</v>
      </c>
    </row>
    <row r="59" spans="1:16" ht="13.5" customHeight="1" x14ac:dyDescent="0.35">
      <c r="A59" s="87" t="s">
        <v>246</v>
      </c>
      <c r="B59" s="93" t="s">
        <v>51</v>
      </c>
      <c r="C59" s="89">
        <v>406346</v>
      </c>
      <c r="D59" s="91">
        <v>98</v>
      </c>
    </row>
    <row r="60" spans="1:16" ht="13.5" customHeight="1" x14ac:dyDescent="0.35">
      <c r="A60" s="82" t="s">
        <v>500</v>
      </c>
      <c r="B60" s="92" t="s">
        <v>598</v>
      </c>
      <c r="C60" s="84">
        <v>550000</v>
      </c>
      <c r="D60" s="86">
        <v>98</v>
      </c>
      <c r="P60" s="146"/>
    </row>
    <row r="61" spans="1:16" ht="13.5" customHeight="1" x14ac:dyDescent="0.35">
      <c r="A61" s="87" t="s">
        <v>512</v>
      </c>
      <c r="B61" s="93" t="s">
        <v>603</v>
      </c>
      <c r="C61" s="89">
        <v>490000</v>
      </c>
      <c r="D61" s="91">
        <v>120</v>
      </c>
    </row>
    <row r="62" spans="1:16" ht="13.5" customHeight="1" x14ac:dyDescent="0.35">
      <c r="A62" s="82" t="s">
        <v>513</v>
      </c>
      <c r="B62" s="92" t="s">
        <v>604</v>
      </c>
      <c r="C62" s="84">
        <v>530000</v>
      </c>
      <c r="D62" s="86">
        <v>120</v>
      </c>
    </row>
    <row r="63" spans="1:16" ht="13.5" customHeight="1" x14ac:dyDescent="0.35">
      <c r="A63" s="87" t="s">
        <v>514</v>
      </c>
      <c r="B63" s="93" t="s">
        <v>605</v>
      </c>
      <c r="C63" s="89">
        <v>600000</v>
      </c>
      <c r="D63" s="91">
        <v>120</v>
      </c>
    </row>
    <row r="64" spans="1:16" ht="13.5" customHeight="1" x14ac:dyDescent="0.35">
      <c r="A64" s="82" t="s">
        <v>515</v>
      </c>
      <c r="B64" s="92" t="s">
        <v>606</v>
      </c>
      <c r="C64" s="84">
        <v>710000</v>
      </c>
      <c r="D64" s="86">
        <v>120</v>
      </c>
    </row>
    <row r="65" spans="1:4" ht="13.5" customHeight="1" x14ac:dyDescent="0.35">
      <c r="A65" s="87" t="s">
        <v>502</v>
      </c>
      <c r="B65" s="93" t="s">
        <v>603</v>
      </c>
      <c r="C65" s="89">
        <v>490000</v>
      </c>
      <c r="D65" s="91">
        <v>120</v>
      </c>
    </row>
    <row r="66" spans="1:4" ht="13.5" customHeight="1" x14ac:dyDescent="0.35">
      <c r="A66" s="82" t="s">
        <v>503</v>
      </c>
      <c r="B66" s="92" t="s">
        <v>604</v>
      </c>
      <c r="C66" s="84">
        <v>530000</v>
      </c>
      <c r="D66" s="86">
        <v>120</v>
      </c>
    </row>
    <row r="67" spans="1:4" ht="13.5" customHeight="1" x14ac:dyDescent="0.35">
      <c r="A67" s="87" t="s">
        <v>504</v>
      </c>
      <c r="B67" s="93" t="s">
        <v>605</v>
      </c>
      <c r="C67" s="89">
        <v>600000</v>
      </c>
      <c r="D67" s="91">
        <v>120</v>
      </c>
    </row>
    <row r="68" spans="1:4" ht="13.5" customHeight="1" x14ac:dyDescent="0.35">
      <c r="A68" s="82" t="s">
        <v>505</v>
      </c>
      <c r="B68" s="92" t="s">
        <v>606</v>
      </c>
      <c r="C68" s="84">
        <v>710000</v>
      </c>
      <c r="D68" s="86">
        <v>120</v>
      </c>
    </row>
    <row r="69" spans="1:4" ht="13.5" customHeight="1" x14ac:dyDescent="0.35">
      <c r="A69" s="87" t="s">
        <v>506</v>
      </c>
      <c r="B69" s="93" t="s">
        <v>607</v>
      </c>
      <c r="C69" s="89">
        <v>750000</v>
      </c>
      <c r="D69" s="91">
        <v>120</v>
      </c>
    </row>
    <row r="70" spans="1:4" ht="13.5" customHeight="1" x14ac:dyDescent="0.35">
      <c r="A70" s="82" t="s">
        <v>507</v>
      </c>
      <c r="B70" s="92" t="s">
        <v>608</v>
      </c>
      <c r="C70" s="84">
        <v>850000</v>
      </c>
      <c r="D70" s="86">
        <v>120</v>
      </c>
    </row>
    <row r="71" spans="1:4" ht="13.5" customHeight="1" x14ac:dyDescent="0.35">
      <c r="A71" s="87" t="s">
        <v>508</v>
      </c>
      <c r="B71" s="93" t="s">
        <v>609</v>
      </c>
      <c r="C71" s="89">
        <v>700000</v>
      </c>
      <c r="D71" s="91">
        <v>120</v>
      </c>
    </row>
    <row r="72" spans="1:4" ht="13.5" customHeight="1" x14ac:dyDescent="0.35">
      <c r="A72" s="82" t="s">
        <v>509</v>
      </c>
      <c r="B72" s="92" t="s">
        <v>610</v>
      </c>
      <c r="C72" s="84">
        <v>580000</v>
      </c>
      <c r="D72" s="86">
        <v>120</v>
      </c>
    </row>
    <row r="73" spans="1:4" ht="13.5" customHeight="1" x14ac:dyDescent="0.35">
      <c r="A73" s="87" t="s">
        <v>510</v>
      </c>
      <c r="B73" s="93" t="s">
        <v>611</v>
      </c>
      <c r="C73" s="89">
        <v>620000</v>
      </c>
      <c r="D73" s="91">
        <v>120</v>
      </c>
    </row>
    <row r="74" spans="1:4" ht="13.5" customHeight="1" x14ac:dyDescent="0.35">
      <c r="A74" s="82" t="s">
        <v>511</v>
      </c>
      <c r="B74" s="92" t="s">
        <v>612</v>
      </c>
      <c r="C74" s="84">
        <v>680000</v>
      </c>
      <c r="D74" s="86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showGridLines="0" zoomScaleNormal="100" workbookViewId="0">
      <selection activeCell="C2" sqref="C2:C11"/>
    </sheetView>
  </sheetViews>
  <sheetFormatPr defaultColWidth="8.6328125" defaultRowHeight="14.5" x14ac:dyDescent="0.35"/>
  <cols>
    <col min="1" max="1" width="15.81640625" customWidth="1"/>
    <col min="2" max="2" width="11.6328125" customWidth="1"/>
    <col min="3" max="3" width="6.90625" customWidth="1"/>
    <col min="4" max="4" width="11" customWidth="1"/>
    <col min="5" max="5" width="21.90625" customWidth="1"/>
  </cols>
  <sheetData>
    <row r="1" spans="1:5" ht="15.75" customHeight="1" x14ac:dyDescent="0.35">
      <c r="A1" s="19" t="s">
        <v>613</v>
      </c>
      <c r="B1" s="19" t="s">
        <v>614</v>
      </c>
      <c r="C1" s="19" t="s">
        <v>70</v>
      </c>
      <c r="D1" s="19" t="s">
        <v>209</v>
      </c>
      <c r="E1" s="19" t="s">
        <v>615</v>
      </c>
    </row>
    <row r="2" spans="1:5" ht="13.5" customHeight="1" x14ac:dyDescent="0.35">
      <c r="A2" s="82" t="s">
        <v>616</v>
      </c>
      <c r="B2" s="94">
        <v>12</v>
      </c>
      <c r="C2" s="84">
        <v>19387</v>
      </c>
      <c r="D2" s="86">
        <v>14</v>
      </c>
      <c r="E2" s="92" t="s">
        <v>617</v>
      </c>
    </row>
    <row r="3" spans="1:5" ht="13.5" customHeight="1" x14ac:dyDescent="0.35">
      <c r="A3" s="87" t="s">
        <v>618</v>
      </c>
      <c r="B3" s="95">
        <v>15</v>
      </c>
      <c r="C3" s="89">
        <v>20702</v>
      </c>
      <c r="D3" s="91">
        <v>14</v>
      </c>
      <c r="E3" s="93" t="s">
        <v>619</v>
      </c>
    </row>
    <row r="4" spans="1:5" ht="13.5" customHeight="1" x14ac:dyDescent="0.35">
      <c r="A4" s="82" t="s">
        <v>620</v>
      </c>
      <c r="B4" s="94">
        <v>20</v>
      </c>
      <c r="C4" s="84">
        <v>22439</v>
      </c>
      <c r="D4" s="86">
        <v>14</v>
      </c>
      <c r="E4" s="92" t="s">
        <v>621</v>
      </c>
    </row>
    <row r="5" spans="1:5" ht="13.5" customHeight="1" x14ac:dyDescent="0.35">
      <c r="A5" s="87" t="s">
        <v>622</v>
      </c>
      <c r="B5" s="95">
        <v>25</v>
      </c>
      <c r="C5" s="89">
        <v>24222</v>
      </c>
      <c r="D5" s="91">
        <v>14</v>
      </c>
      <c r="E5" s="93" t="s">
        <v>623</v>
      </c>
    </row>
    <row r="6" spans="1:5" ht="13.5" customHeight="1" x14ac:dyDescent="0.35">
      <c r="A6" s="82" t="s">
        <v>624</v>
      </c>
      <c r="B6" s="94">
        <v>30</v>
      </c>
      <c r="C6" s="84">
        <v>26241</v>
      </c>
      <c r="D6" s="86">
        <v>14</v>
      </c>
      <c r="E6" s="92" t="s">
        <v>625</v>
      </c>
    </row>
    <row r="7" spans="1:5" ht="13.5" customHeight="1" x14ac:dyDescent="0.35">
      <c r="A7" s="87" t="s">
        <v>60</v>
      </c>
      <c r="B7" s="95">
        <v>15</v>
      </c>
      <c r="C7" s="89">
        <v>27344</v>
      </c>
      <c r="D7" s="91">
        <v>14</v>
      </c>
      <c r="E7" s="93" t="s">
        <v>626</v>
      </c>
    </row>
    <row r="8" spans="1:5" ht="13.5" customHeight="1" x14ac:dyDescent="0.35">
      <c r="A8" s="82" t="s">
        <v>64</v>
      </c>
      <c r="B8" s="94">
        <v>20</v>
      </c>
      <c r="C8" s="84">
        <v>29574</v>
      </c>
      <c r="D8" s="86">
        <v>14</v>
      </c>
      <c r="E8" s="92" t="s">
        <v>627</v>
      </c>
    </row>
    <row r="9" spans="1:5" ht="13.5" customHeight="1" x14ac:dyDescent="0.35">
      <c r="A9" s="87" t="s">
        <v>65</v>
      </c>
      <c r="B9" s="95">
        <v>25</v>
      </c>
      <c r="C9" s="89">
        <v>31828</v>
      </c>
      <c r="D9" s="91">
        <v>14</v>
      </c>
      <c r="E9" s="93" t="s">
        <v>628</v>
      </c>
    </row>
    <row r="10" spans="1:5" ht="13.5" customHeight="1" x14ac:dyDescent="0.35">
      <c r="A10" s="82" t="s">
        <v>629</v>
      </c>
      <c r="B10" s="94">
        <v>6</v>
      </c>
      <c r="C10" s="84">
        <v>148661</v>
      </c>
      <c r="D10" s="86">
        <v>7</v>
      </c>
      <c r="E10" s="92" t="s">
        <v>630</v>
      </c>
    </row>
    <row r="11" spans="1:5" ht="13.5" customHeight="1" x14ac:dyDescent="0.35">
      <c r="A11" s="87" t="s">
        <v>631</v>
      </c>
      <c r="B11" s="95">
        <v>10</v>
      </c>
      <c r="C11" s="89">
        <v>193950</v>
      </c>
      <c r="D11" s="91">
        <v>7</v>
      </c>
      <c r="E11" s="93" t="s">
        <v>632</v>
      </c>
    </row>
    <row r="12" spans="1:5" ht="13.5" customHeight="1" x14ac:dyDescent="0.35">
      <c r="A12" s="82" t="s">
        <v>63</v>
      </c>
      <c r="B12" s="94">
        <v>0</v>
      </c>
      <c r="C12" s="84">
        <v>0</v>
      </c>
      <c r="D12" s="86">
        <v>0</v>
      </c>
      <c r="E12" s="92" t="s">
        <v>633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4494-BBB4-4F9B-BA8C-8DCFF622A5FA}">
  <dimension ref="A2:D7"/>
  <sheetViews>
    <sheetView workbookViewId="0">
      <selection activeCell="A4" sqref="A4"/>
    </sheetView>
  </sheetViews>
  <sheetFormatPr defaultRowHeight="14.5" x14ac:dyDescent="0.35"/>
  <cols>
    <col min="1" max="1" width="20.54296875" bestFit="1" customWidth="1"/>
    <col min="2" max="2" width="23.08984375" bestFit="1" customWidth="1"/>
    <col min="3" max="3" width="10.08984375" bestFit="1" customWidth="1"/>
    <col min="4" max="4" width="8.08984375" bestFit="1" customWidth="1"/>
    <col min="5" max="5" width="27.08984375" customWidth="1"/>
  </cols>
  <sheetData>
    <row r="2" spans="1:4" ht="29" x14ac:dyDescent="0.35">
      <c r="A2" s="208" t="s">
        <v>787</v>
      </c>
      <c r="B2" s="210" t="s">
        <v>788</v>
      </c>
      <c r="C2" s="210" t="s">
        <v>801</v>
      </c>
      <c r="D2" s="208" t="s">
        <v>789</v>
      </c>
    </row>
    <row r="3" spans="1:4" x14ac:dyDescent="0.35">
      <c r="A3" s="212" t="s">
        <v>790</v>
      </c>
      <c r="B3" s="209" t="s">
        <v>791</v>
      </c>
      <c r="C3" s="209">
        <v>30000</v>
      </c>
      <c r="D3" s="211" t="s">
        <v>792</v>
      </c>
    </row>
    <row r="4" spans="1:4" x14ac:dyDescent="0.35">
      <c r="A4" s="212" t="s">
        <v>793</v>
      </c>
      <c r="B4" s="209" t="s">
        <v>794</v>
      </c>
      <c r="C4" s="209">
        <v>40000</v>
      </c>
      <c r="D4" s="211" t="s">
        <v>792</v>
      </c>
    </row>
    <row r="5" spans="1:4" x14ac:dyDescent="0.35">
      <c r="A5" s="212" t="s">
        <v>795</v>
      </c>
      <c r="B5" s="209" t="s">
        <v>796</v>
      </c>
      <c r="C5" s="209">
        <v>50000</v>
      </c>
      <c r="D5" s="211" t="s">
        <v>792</v>
      </c>
    </row>
    <row r="6" spans="1:4" x14ac:dyDescent="0.35">
      <c r="A6" s="212" t="s">
        <v>797</v>
      </c>
      <c r="B6" s="209" t="s">
        <v>798</v>
      </c>
      <c r="C6" s="209">
        <v>70000</v>
      </c>
      <c r="D6" s="211" t="s">
        <v>792</v>
      </c>
    </row>
    <row r="7" spans="1:4" x14ac:dyDescent="0.35">
      <c r="A7" s="212" t="s">
        <v>799</v>
      </c>
      <c r="B7" s="209" t="s">
        <v>800</v>
      </c>
      <c r="C7" s="209">
        <v>80000</v>
      </c>
      <c r="D7" s="211" t="s">
        <v>792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Pricing Tool</vt:lpstr>
      <vt:lpstr>Raw Forging Prices</vt:lpstr>
      <vt:lpstr>TECH DATA SHEET</vt:lpstr>
      <vt:lpstr>Cost Rate Tables</vt:lpstr>
      <vt:lpstr>Bearing &amp; Sleeve Data</vt:lpstr>
      <vt:lpstr>In-House Hours</vt:lpstr>
      <vt:lpstr>Delivery Schedule</vt:lpstr>
      <vt:lpstr>MHR &amp; LHR Calculator</vt:lpstr>
      <vt:lpstr>BRG_DATA</vt:lpstr>
      <vt:lpstr>SL_DATA</vt:lpstr>
      <vt:lpstr>HSG_DATA</vt:lpstr>
      <vt:lpstr>LAG_DATA</vt:lpstr>
      <vt:lpstr>LCD_DATA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Vidyasagar Reddy, Gantla</cp:lastModifiedBy>
  <cp:revision>0</cp:revision>
  <dcterms:created xsi:type="dcterms:W3CDTF">2026-05-14T08:35:57Z</dcterms:created>
  <dcterms:modified xsi:type="dcterms:W3CDTF">2026-08-27T11:47:06Z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2057</vt:lpwstr>
  </property>
</Properties>
</file>